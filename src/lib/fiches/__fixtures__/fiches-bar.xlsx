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drawings/drawing26.xml" ContentType="application/vnd.openxmlformats-officedocument.drawing+xml"/>
  <Override PartName="/xl/tables/table26.xml" ContentType="application/vnd.openxmlformats-officedocument.spreadsheetml.table+xml"/>
  <Override PartName="/xl/drawings/drawing27.xml" ContentType="application/vnd.openxmlformats-officedocument.drawing+xml"/>
  <Override PartName="/xl/tables/table27.xml" ContentType="application/vnd.openxmlformats-officedocument.spreadsheetml.table+xml"/>
  <Override PartName="/xl/drawings/drawing28.xml" ContentType="application/vnd.openxmlformats-officedocument.drawing+xml"/>
  <Override PartName="/xl/tables/table28.xml" ContentType="application/vnd.openxmlformats-officedocument.spreadsheetml.table+xml"/>
  <Override PartName="/xl/drawings/drawing29.xml" ContentType="application/vnd.openxmlformats-officedocument.drawing+xml"/>
  <Override PartName="/xl/tables/table29.xml" ContentType="application/vnd.openxmlformats-officedocument.spreadsheetml.table+xml"/>
  <Override PartName="/xl/drawings/drawing30.xml" ContentType="application/vnd.openxmlformats-officedocument.drawing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achatshiongo/Downloads/"/>
    </mc:Choice>
  </mc:AlternateContent>
  <xr:revisionPtr revIDLastSave="0" documentId="13_ncr:1_{286675D7-5356-574A-B4CA-2A8EA1027E8C}" xr6:coauthVersionLast="47" xr6:coauthVersionMax="47" xr10:uidLastSave="{00000000-0000-0000-0000-000000000000}"/>
  <bookViews>
    <workbookView xWindow="0" yWindow="620" windowWidth="28800" windowHeight="16080" firstSheet="20" activeTab="23" xr2:uid="{00000000-000D-0000-FFFF-FFFF00000000}"/>
  </bookViews>
  <sheets>
    <sheet name="Pinacolada cocktail" sheetId="11" r:id="rId1"/>
    <sheet name="PinaColada mocktail" sheetId="16" r:id="rId2"/>
    <sheet name="Blue Hawaiian cocktail" sheetId="12" r:id="rId3"/>
    <sheet name="Bora Bora mocktail" sheetId="17" r:id="rId4"/>
    <sheet name="Virgin Mojito" sheetId="18" r:id="rId5"/>
    <sheet name="Mojito" sheetId="19" r:id="rId6"/>
    <sheet name="Sex on the beach cocktail" sheetId="13" r:id="rId7"/>
    <sheet name="Cosmopolitan " sheetId="25" r:id="rId8"/>
    <sheet name="Daïquiri " sheetId="26" r:id="rId9"/>
    <sheet name="TEQUILA SUNRISE" sheetId="27" r:id="rId10"/>
    <sheet name="LONG ISLAND" sheetId="32" r:id="rId11"/>
    <sheet name="Espresso Martini" sheetId="31" r:id="rId12"/>
    <sheet name="Caïpirinha" sheetId="30" r:id="rId13"/>
    <sheet name="Margarita" sheetId="28" r:id="rId14"/>
    <sheet name="Negroni" sheetId="33" r:id="rId15"/>
    <sheet name="Old Fashioned" sheetId="34" r:id="rId16"/>
    <sheet name="Pop Cola mocktail" sheetId="35" r:id="rId17"/>
    <sheet name="Pop Cola cocktail" sheetId="36" r:id="rId18"/>
    <sheet name="Spanish latté arômatisé " sheetId="37" r:id="rId19"/>
    <sheet name="Milkshake fraise" sheetId="38" r:id="rId20"/>
    <sheet name="Frozen kiwi " sheetId="39" r:id="rId21"/>
    <sheet name="Smoothie kiwi yuzu " sheetId="40" r:id="rId22"/>
    <sheet name="Milkshake pomme" sheetId="41" r:id="rId23"/>
    <sheet name="Folie douce" sheetId="47" r:id="rId24"/>
    <sheet name="Jager Naughty German" sheetId="42" r:id="rId25"/>
    <sheet name="Blue Lady" sheetId="43" r:id="rId26"/>
    <sheet name="Pink Lady" sheetId="45" r:id="rId27"/>
    <sheet name="Apérol Spritz" sheetId="48" r:id="rId28"/>
    <sheet name="Kir royal " sheetId="49" r:id="rId29"/>
    <sheet name="Liste des fournisseurs" sheetId="9" r:id="rId30"/>
  </sheets>
  <definedNames>
    <definedName name="_xlnm.Print_Area" localSheetId="2">'Blue Hawaiian cocktail'!$A$1:$F$64</definedName>
    <definedName name="_xlnm.Print_Area" localSheetId="3">'Bora Bora mocktail'!$A$1:$E$50</definedName>
    <definedName name="_xlnm.Print_Area" localSheetId="12">Caïpirinha!$B$1:$F$55</definedName>
    <definedName name="_xlnm.Print_Area" localSheetId="7">'Cosmopolitan '!$A$1:$E$66</definedName>
    <definedName name="_xlnm.Print_Area" localSheetId="8">'Daïquiri '!$B$1:$F$46</definedName>
    <definedName name="_xlnm.Print_Area" localSheetId="11">'Espresso Martini'!$B$1:$F$58</definedName>
    <definedName name="_xlnm.Print_Area" localSheetId="10">'LONG ISLAND'!$B$1:$G$52</definedName>
    <definedName name="_xlnm.Print_Area" localSheetId="13">Margarita!$B$1:$F$63</definedName>
    <definedName name="_xlnm.Print_Area" localSheetId="5">Mojito!$B$1:$F$58</definedName>
    <definedName name="_xlnm.Print_Area" localSheetId="0">'Pinacolada cocktail'!$B$1:$G$62</definedName>
    <definedName name="_xlnm.Print_Area" localSheetId="1">'PinaColada mocktail'!$A$1:$F$62</definedName>
    <definedName name="_xlnm.Print_Area" localSheetId="6">'Sex on the beach cocktail'!$A$1:$E$49</definedName>
    <definedName name="_xlnm.Print_Area" localSheetId="9">'TEQUILA SUNRISE'!$B$1:$F$63</definedName>
    <definedName name="_xlnm.Print_Area" localSheetId="4">'Virgin Mojito'!$A$1:$E$49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<sst xmlns="http://schemas.openxmlformats.org/spreadsheetml/2006/main" count="2119" uniqueCount="492">
  <si>
    <t>FICHE TECHNIQUE</t>
  </si>
  <si>
    <t>Prix de vente TTC :</t>
  </si>
  <si>
    <t>Taux TVA :</t>
  </si>
  <si>
    <t>Article</t>
  </si>
  <si>
    <t>Coût d'achat HT à l'unité</t>
  </si>
  <si>
    <t>Unités nécessaires</t>
  </si>
  <si>
    <t>Prix de revient HT</t>
  </si>
  <si>
    <t>Total prix de revient HT</t>
  </si>
  <si>
    <t>Prix de revient unitaire HT par portion produite :</t>
  </si>
  <si>
    <t>Pourcentage moyen d'invendus :</t>
  </si>
  <si>
    <t>Prix de revient unitaire HT par portion vendue :</t>
  </si>
  <si>
    <t>Prix de vente HT</t>
  </si>
  <si>
    <t>Marge brute</t>
  </si>
  <si>
    <t>Coefficient de marge</t>
  </si>
  <si>
    <t>g</t>
  </si>
  <si>
    <t>SO GOOD</t>
  </si>
  <si>
    <t>LA CAVE DE BACCHUS</t>
  </si>
  <si>
    <t>KATHY</t>
  </si>
  <si>
    <t>REGAL</t>
  </si>
  <si>
    <t>Cailles</t>
  </si>
  <si>
    <t>Blanc de poulet</t>
  </si>
  <si>
    <t>Kg</t>
  </si>
  <si>
    <t>Viande -Volaille-Poisson-Crustacé</t>
  </si>
  <si>
    <t>Pièce</t>
  </si>
  <si>
    <t>Côte de porc</t>
  </si>
  <si>
    <t>Filet Capitaine</t>
  </si>
  <si>
    <t>Fruit de mer-500g</t>
  </si>
  <si>
    <t>Lard Fumé</t>
  </si>
  <si>
    <t>Saumon Frais</t>
  </si>
  <si>
    <t>Saumon Fumé</t>
  </si>
  <si>
    <t>Viande Hachée</t>
  </si>
  <si>
    <t>Crèmerie-Fromagerie</t>
  </si>
  <si>
    <t>L</t>
  </si>
  <si>
    <t>ml</t>
  </si>
  <si>
    <t>Paquet</t>
  </si>
  <si>
    <t>Pâtes</t>
  </si>
  <si>
    <t>Baies roses</t>
  </si>
  <si>
    <t>Épices et assaisonements</t>
  </si>
  <si>
    <t>Basilic séché 170g</t>
  </si>
  <si>
    <t>Bouteille</t>
  </si>
  <si>
    <t>Chapelure (paquets)- EVERDAY 400gr</t>
  </si>
  <si>
    <t>Curry</t>
  </si>
  <si>
    <t>Boîte</t>
  </si>
  <si>
    <t>Everyday Champignon de paris coupes choix ( 240gr)</t>
  </si>
  <si>
    <t>Boulangerie-Patisserie</t>
  </si>
  <si>
    <t>Fond de volaille</t>
  </si>
  <si>
    <t>Herbe de provence 150g</t>
  </si>
  <si>
    <t>Huile 5L régina</t>
  </si>
  <si>
    <t>Huile d'olive Allegro 1L</t>
  </si>
  <si>
    <t>Miel</t>
  </si>
  <si>
    <t>Muscade moulu</t>
  </si>
  <si>
    <t>Poivre Blanc Delhaze</t>
  </si>
  <si>
    <t>Poivre Blanc Everyday 100gr</t>
  </si>
  <si>
    <t>Sel fin</t>
  </si>
  <si>
    <t>Sucre Blanc</t>
  </si>
  <si>
    <t>kg</t>
  </si>
  <si>
    <t>Sucre Brun</t>
  </si>
  <si>
    <t>Sucre Glace CRF CLASSIC 500G</t>
  </si>
  <si>
    <t>Sucre Glace 500gr Daddy Icing</t>
  </si>
  <si>
    <t>Autres</t>
  </si>
  <si>
    <t>Anchois</t>
  </si>
  <si>
    <t>Câprès</t>
  </si>
  <si>
    <t>Thon en boîte-Everyday</t>
  </si>
  <si>
    <t>Glace Vanille</t>
  </si>
  <si>
    <t>Chocolait blanc</t>
  </si>
  <si>
    <t>Chocolat au lait</t>
  </si>
  <si>
    <t>Chocolat noir 100g</t>
  </si>
  <si>
    <t>Crème balsamique</t>
  </si>
  <si>
    <t>Produits d'entretien &amp; Autre non-alimentaire</t>
  </si>
  <si>
    <t>Cure dent 100 pièces</t>
  </si>
  <si>
    <t>Sauce Anglaise</t>
  </si>
  <si>
    <t>Ketchup</t>
  </si>
  <si>
    <t>Levure-PARMAYA</t>
  </si>
  <si>
    <t>Maizena blanc</t>
  </si>
  <si>
    <t>Mayonaise Everyday</t>
  </si>
  <si>
    <t>Moutarde-Everyday</t>
  </si>
  <si>
    <t>Bouquet garni</t>
  </si>
  <si>
    <t>Feuille de laurier</t>
  </si>
  <si>
    <t>Romarin</t>
  </si>
  <si>
    <t>Sauce barbecue</t>
  </si>
  <si>
    <t>Vin blanc</t>
  </si>
  <si>
    <t>Vin rouge</t>
  </si>
  <si>
    <t>Sucre vanille-Everyday</t>
  </si>
  <si>
    <t>Tomate cerises</t>
  </si>
  <si>
    <t>Tomates pêlées</t>
  </si>
  <si>
    <t>Tomates concentrées</t>
  </si>
  <si>
    <t>Vinaigre blanc</t>
  </si>
  <si>
    <t>Vinaigre Bamsamique</t>
  </si>
  <si>
    <t>À emporter</t>
  </si>
  <si>
    <t>Riz</t>
  </si>
  <si>
    <t>Pignons de pin</t>
  </si>
  <si>
    <t>Unité</t>
  </si>
  <si>
    <t>Catégorie</t>
  </si>
  <si>
    <t>Prix unitaire</t>
  </si>
  <si>
    <t xml:space="preserve">Unité </t>
  </si>
  <si>
    <t>Bouillon de poulet 1.5kg</t>
  </si>
  <si>
    <t>Bouillon de viande 1.5kg</t>
  </si>
  <si>
    <t>BEAUFORT 50CL</t>
  </si>
  <si>
    <t>CASTEL 50CL</t>
  </si>
  <si>
    <t>EAU VIVE PLATE 50CL</t>
  </si>
  <si>
    <t>TEMBO 50CL</t>
  </si>
  <si>
    <t>Coke 30 Cl 12 Blles</t>
  </si>
  <si>
    <t>Fanta 30 Cl 12 Blles</t>
  </si>
  <si>
    <t>Schweppes Soda/Tonic RGB 30 cl</t>
  </si>
  <si>
    <t>Sprite 30 Cl 12 Blles</t>
  </si>
  <si>
    <t>Sprite PET 30 CL 12 BIles</t>
  </si>
  <si>
    <t>Vital'o PET 30 Cl 12 blles</t>
  </si>
  <si>
    <t>CAILLES</t>
  </si>
  <si>
    <t>CARRÉ D'AGNEAU 1KG</t>
  </si>
  <si>
    <t>SAUMON FRAIS 1KG</t>
  </si>
  <si>
    <t>COSSAS 1KG</t>
  </si>
  <si>
    <t>FILET DE CAPITAINE 1KG</t>
  </si>
  <si>
    <t>FILET DE MOSOMBO 1KG</t>
  </si>
  <si>
    <t>FILET DE BOEUF PUR 1KG</t>
  </si>
  <si>
    <t>ABSOLUT VODKA 75CL</t>
  </si>
  <si>
    <t>AMARETTO DE SARONNO 1LTR</t>
  </si>
  <si>
    <t>APEROL 1LTR</t>
  </si>
  <si>
    <t>BACARDI BLC 1L</t>
  </si>
  <si>
    <t>BARD LIQ TRIPLE SEC 70CL</t>
  </si>
  <si>
    <t>BARON D ARIGNAC ICE BLANC 75CL</t>
  </si>
  <si>
    <t>BARON D ARIGNAC MOUSSEUX BRUT 75CL</t>
  </si>
  <si>
    <t>BELVEDERE VODKA 70CL</t>
  </si>
  <si>
    <t>BLACK LABEL 75CL</t>
  </si>
  <si>
    <t>BOMBAY SAPPHIRE 70CL</t>
  </si>
  <si>
    <t>C.COLLIN BRUT 75CL</t>
  </si>
  <si>
    <t>CAMINO BLC 75CL</t>
  </si>
  <si>
    <t>CAMPARI 1L</t>
  </si>
  <si>
    <t>CAMUS VSOP GB 70CL</t>
  </si>
  <si>
    <t>CH NEUF DU PAPE LA FIOLE ROUG 75CL</t>
  </si>
  <si>
    <t>CHIVAS 12Y 75CL</t>
  </si>
  <si>
    <t>CHIVAS 18Y 75CL</t>
  </si>
  <si>
    <t>CHT GRAND RESERVE BORD ROUGE 375ML</t>
  </si>
  <si>
    <t>CIROC 75CL</t>
  </si>
  <si>
    <t>CKT OLD NICK PUN PINACOLADA 70CL</t>
  </si>
  <si>
    <t>COINTREAU 70CL</t>
  </si>
  <si>
    <t>COLLEZIONE ORO CHIANTI RESERVA RED 75CL</t>
  </si>
  <si>
    <t>COTES DE PROVENCE 75CL</t>
  </si>
  <si>
    <t>COURVOISIER XO 700ML</t>
  </si>
  <si>
    <t>DOMAINE LA BAUME CAB SAUV RED 75CL</t>
  </si>
  <si>
    <t>DOMAINE LA BAUME CHARD WHITE 75CL</t>
  </si>
  <si>
    <t>DOMAINE LA BAUME SAUV WHITE 75CL</t>
  </si>
  <si>
    <t>DOUBLE BLACK 75CL</t>
  </si>
  <si>
    <t>GLENFIDDICH 12Y 70CL</t>
  </si>
  <si>
    <t>GLENFIDDICH 15Y 70CL</t>
  </si>
  <si>
    <t>GLENFIDDICH 18Y 70CL</t>
  </si>
  <si>
    <t>GOLD RESERVE 75CL</t>
  </si>
  <si>
    <t>GORDONS GIN 75CL</t>
  </si>
  <si>
    <t>GRAND MARNIER 700ML</t>
  </si>
  <si>
    <t>GRANDE RESERVE BX SUPERIEUR 75CL</t>
  </si>
  <si>
    <t>GREY GOOSE 75CL</t>
  </si>
  <si>
    <t>HENNESSY VSOP 700ML</t>
  </si>
  <si>
    <t>JACK &amp; HONEY LIQ WHISKY 35% 70CL</t>
  </si>
  <si>
    <t>JACK DANIEL 70CL</t>
  </si>
  <si>
    <t>LOUIS ESCH CINSAULT SAUVIGNON ROSE 75CL</t>
  </si>
  <si>
    <t>MALIBU 70CL</t>
  </si>
  <si>
    <t>MARTINI BLC 75CL</t>
  </si>
  <si>
    <t>MARTINI ROSSO 75CL</t>
  </si>
  <si>
    <t>MOET &amp; CHANDON BRUT 75CL</t>
  </si>
  <si>
    <t>MOET &amp; CHANDON ROSE 75CL</t>
  </si>
  <si>
    <t>MOET ICE 75CL</t>
  </si>
  <si>
    <t>MOET ICE IMPERIAL ROSE 75CL</t>
  </si>
  <si>
    <t>MOET NECTAR IMPERIAL 75CL</t>
  </si>
  <si>
    <t>NEGRITA ORI 37.5%70CL</t>
  </si>
  <si>
    <t>PALLINI LIMONCELLO 1L</t>
  </si>
  <si>
    <t>PICCINI PROSECCO VENETIAN DRESS EXTRA DRY BLANC 75CL</t>
  </si>
  <si>
    <t>PORTO CRUZ TAWNY 75CL</t>
  </si>
  <si>
    <t>REMY MARTIN VSOP 70CL</t>
  </si>
  <si>
    <t>RHUM KWILU BONOBO 75CL</t>
  </si>
  <si>
    <t>ROSE D ANJOU 75CL</t>
  </si>
  <si>
    <t>RUINART BLANC DE BLANC 75CL</t>
  </si>
  <si>
    <t>RUM SAINT JAMES BLC 70CL</t>
  </si>
  <si>
    <t>BAVARIA APPLE MALT NON ALCOHOLIC BIERE 50CL</t>
  </si>
  <si>
    <t>CAMINO TEQUILA BLC 75CL</t>
  </si>
  <si>
    <t>ELLE &amp; VIRE COOKING CREAM 1LTR</t>
  </si>
  <si>
    <t>JEAN FLOCH EPAULE CUITE 611 1KG</t>
  </si>
  <si>
    <t>LAIT ELLE &amp; VIRE ENTIER RED 1LTR</t>
  </si>
  <si>
    <t>MALIBU COCONUT 700ML France</t>
  </si>
  <si>
    <t>MONIN FRAISE SIROP 1L</t>
  </si>
  <si>
    <t>MONIN GINGER SIROP 70CL</t>
  </si>
  <si>
    <t>MONIN MOJITO MINT SIROP 1LT</t>
  </si>
  <si>
    <t>MONIN SAVEUR NOIX DE COCO SIROP 1L</t>
  </si>
  <si>
    <t>MOZZARELLA BLOCK 2.3KG</t>
  </si>
  <si>
    <t>RED BULL 250 ML</t>
  </si>
  <si>
    <t>SAVANNA DRY PREMIUM CIDER 330ML</t>
  </si>
  <si>
    <t>VODKA ABSOLUT 750ML</t>
  </si>
  <si>
    <t>103 TAGLIATELLE 12 X 500G</t>
  </si>
  <si>
    <t>104 FETTUCCINE 12 X 500G</t>
  </si>
  <si>
    <t>15 SPAGHETTI 24 X 500G</t>
  </si>
  <si>
    <t>15 SPAGHETTI LM CHEF 12 X 1KG</t>
  </si>
  <si>
    <t>16 SPAGHETTINI 24 X 500G</t>
  </si>
  <si>
    <t>20 PENNE RIGATE 24 X 500G</t>
  </si>
  <si>
    <t>20 PENNE RIGATE LM CHEF 12 X 1KG</t>
  </si>
  <si>
    <t>219 LASAGNE SEMOLA 12 X 500G</t>
  </si>
  <si>
    <t>25 CONCHIGLIE RIGATE 24 X 500G</t>
  </si>
  <si>
    <t>28 FUSILLI 24 X 500G FQ</t>
  </si>
  <si>
    <t>34 SUCCHIETTI 24 X 500G</t>
  </si>
  <si>
    <t>37 MACCHERONI LM CHEF 12 X 1KG</t>
  </si>
  <si>
    <t>5 FETTUCCINE 24 X 500G</t>
  </si>
  <si>
    <t>6 LINGUINE 24 X 500G</t>
  </si>
  <si>
    <t>6 LINGUINE LM CHEF 12 X 1KG</t>
  </si>
  <si>
    <t>615 SPAGHETTI AL NERO SEPPIA 24 X 500G</t>
  </si>
  <si>
    <t>621 COUS COUS 12 X 500G</t>
  </si>
  <si>
    <t>66 FARFALLE RIGATE 24 X 500G</t>
  </si>
  <si>
    <t>ACQUA PANNA PET 500ML X 24</t>
  </si>
  <si>
    <t>DASANI Emballage: 500ml X 12</t>
  </si>
  <si>
    <t>GRANA PADANO 1KG</t>
  </si>
  <si>
    <t>BRACONGO</t>
  </si>
  <si>
    <t>BRALIMA-SA</t>
  </si>
  <si>
    <t>DOMAINE DES 4 VENTS</t>
  </si>
  <si>
    <t>ETS ZURAFA</t>
  </si>
  <si>
    <t>ETS.SENEVE</t>
  </si>
  <si>
    <t>cl</t>
  </si>
  <si>
    <t>KG</t>
  </si>
  <si>
    <t>ML</t>
  </si>
  <si>
    <t xml:space="preserve">Fournisseur/Supermarché </t>
  </si>
  <si>
    <t>Perrier</t>
  </si>
  <si>
    <t>Eau plate et petillante</t>
  </si>
  <si>
    <t>S. pellegrino</t>
  </si>
  <si>
    <t>Scheweppes Soda</t>
  </si>
  <si>
    <t>Cafe arabicaKAWA KIVU-250</t>
  </si>
  <si>
    <t>Limonade et autre</t>
  </si>
  <si>
    <t>Coca Cola</t>
  </si>
  <si>
    <t>Coca Zero</t>
  </si>
  <si>
    <t>Fanta</t>
  </si>
  <si>
    <t>Glaçons</t>
  </si>
  <si>
    <t>Savanna</t>
  </si>
  <si>
    <t>Sprite</t>
  </si>
  <si>
    <t>Thé vert menthe</t>
  </si>
  <si>
    <t>Thé</t>
  </si>
  <si>
    <t>Thé gingembre</t>
  </si>
  <si>
    <t>Tonic</t>
  </si>
  <si>
    <t>Vital'Ô</t>
  </si>
  <si>
    <t>Sirop</t>
  </si>
  <si>
    <t>FraiseSirop-70</t>
  </si>
  <si>
    <t>Gimgembre</t>
  </si>
  <si>
    <t>Sirop de Grenadine</t>
  </si>
  <si>
    <t>Kiwi</t>
  </si>
  <si>
    <t>Sirop de Mangue</t>
  </si>
  <si>
    <t>Noisette-SIROP</t>
  </si>
  <si>
    <t>Noix de coco SIROP-100</t>
  </si>
  <si>
    <t>Pastèque</t>
  </si>
  <si>
    <t>Sirop de Sucre de canne-70</t>
  </si>
  <si>
    <t>Jus d'Ananas-100</t>
  </si>
  <si>
    <t>Jus de fruit</t>
  </si>
  <si>
    <t>Jus d'Orange</t>
  </si>
  <si>
    <t>Jus de Cranberry</t>
  </si>
  <si>
    <t>Jus de fruit de la passion</t>
  </si>
  <si>
    <t>Jus de mangue Ceres-100</t>
  </si>
  <si>
    <t>Jus de Pomme</t>
  </si>
  <si>
    <t>Martini blanc</t>
  </si>
  <si>
    <t>Aperitif</t>
  </si>
  <si>
    <t>Vin Blanc</t>
  </si>
  <si>
    <t>Bière locale</t>
  </si>
  <si>
    <t>Bière importée</t>
  </si>
  <si>
    <t>Vin Rosé</t>
  </si>
  <si>
    <t>Vin Rouge</t>
  </si>
  <si>
    <t>Vin Mousseux</t>
  </si>
  <si>
    <t>Champagne</t>
  </si>
  <si>
    <t>Digestif</t>
  </si>
  <si>
    <t>Gin, Vodka et Tequila</t>
  </si>
  <si>
    <t>Rhum</t>
  </si>
  <si>
    <t>Whisky</t>
  </si>
  <si>
    <t>Catégories nourriture/boissons</t>
  </si>
  <si>
    <t>Lait de Coco</t>
  </si>
  <si>
    <t xml:space="preserve">Sex on the beach </t>
  </si>
  <si>
    <t>CL</t>
  </si>
  <si>
    <t>Mascarpone Everday 250g</t>
  </si>
  <si>
    <t xml:space="preserve">Pomme </t>
  </si>
  <si>
    <t>Fruit</t>
  </si>
  <si>
    <t>Supermarché</t>
  </si>
  <si>
    <t>Oeufs</t>
  </si>
  <si>
    <t>Farine Fromant (2.5kg)</t>
  </si>
  <si>
    <t>Beurre Lurpak 250g</t>
  </si>
  <si>
    <t>Mocktail</t>
  </si>
  <si>
    <t>Cocktail</t>
  </si>
  <si>
    <t>Bora Bora</t>
  </si>
  <si>
    <t xml:space="preserve">Jus de citron </t>
  </si>
  <si>
    <t xml:space="preserve">Blue Hawaiian </t>
  </si>
  <si>
    <t>Virgin Mojito</t>
  </si>
  <si>
    <t>Feuille de menthe</t>
  </si>
  <si>
    <t>unité</t>
  </si>
  <si>
    <t>Mojito</t>
  </si>
  <si>
    <t>citron</t>
  </si>
  <si>
    <t xml:space="preserve">unité </t>
  </si>
  <si>
    <t>Sirop Citron</t>
  </si>
  <si>
    <t>Daïquiri</t>
  </si>
  <si>
    <t>TEQUILA SUNRISE</t>
  </si>
  <si>
    <t>Margarita</t>
  </si>
  <si>
    <t>Long Island</t>
  </si>
  <si>
    <t xml:space="preserve">Espresso Martini </t>
  </si>
  <si>
    <t>Caïpirinha</t>
  </si>
  <si>
    <t>Espresso</t>
  </si>
  <si>
    <t>Nombre de verres:</t>
  </si>
  <si>
    <t xml:space="preserve">Negroni </t>
  </si>
  <si>
    <t xml:space="preserve">Mode d'élaboration : </t>
  </si>
  <si>
    <t>Shaker</t>
  </si>
  <si>
    <t>Verre à mélange</t>
  </si>
  <si>
    <t>Direct au verre</t>
  </si>
  <si>
    <t>Type de verre utilisé:</t>
  </si>
  <si>
    <t>Verre old fashioned</t>
  </si>
  <si>
    <t>AGUACANA CACHACA 75cl</t>
  </si>
  <si>
    <t>Technique de prépartion</t>
  </si>
  <si>
    <t>Givrez le bord du verre en passant un quartier de citron vert sur le pourtour, puis trempez-le dans une assiette avec du sel fin. </t>
  </si>
  <si>
    <t>Versez tous les ingrédients dans un shaker avec des glaçons.</t>
  </si>
  <si>
    <t>Secouez énergiquement puis filtrez le cocktail dans le verre.</t>
  </si>
  <si>
    <t>Décorez avec un quartier de citron vert. Servez.</t>
  </si>
  <si>
    <t>Verre à Margarita</t>
  </si>
  <si>
    <t>Lavez le citron puis coupez-le en deux dans le sens de la hauteur.</t>
  </si>
  <si>
    <t>Enlevez la partie blanche centrale, source d’amertume.</t>
  </si>
  <si>
    <t>Découpez le citron en petits dés et placez-les dans un verre old fashioned.</t>
  </si>
  <si>
    <t>Ecrasez à l’aide d’un pilon pour extraire le jus du citron vert.</t>
  </si>
  <si>
    <t>Ajoutez la glace pilée dans le verre.</t>
  </si>
  <si>
    <t>Mélangez avec une cuillère à mélange et servez avec une paille </t>
  </si>
  <si>
    <t xml:space="preserve">Verre long drink </t>
  </si>
  <si>
    <t>Dans un verre old fashioned, déposez les glaçons</t>
  </si>
  <si>
    <t>Ajoutez le gin, le vermouth rouge, le Campari et la demi-tranche d’orange.</t>
  </si>
  <si>
    <t>Secouez énergiquement pendant une dizaine de secondes.</t>
  </si>
  <si>
    <t>Versez dans votre shaker le jus de citron jaune et le sirop de sucre de canne.</t>
  </si>
  <si>
    <t>Munissez-vous d’un verre long drink.</t>
  </si>
  <si>
    <t>Incorporez votre mélange en filtrant les glaçons à l’aide d’une passoire à cocktail.</t>
  </si>
  <si>
    <t>Versez un trait de cola jusqu’au remplissage complet du verre.</t>
  </si>
  <si>
    <t>Mettez des glaçons dans un verre long drink.</t>
  </si>
  <si>
    <t>Remuez doucement à l’aide d’une cuillère à mélange.</t>
  </si>
  <si>
    <t>Versez dans l’ordre la Tequila puis le jus d’orange.</t>
  </si>
  <si>
    <t>Donnez un petit coup de cuillère à cocktail pour créer un joli dégradé typique du Tequila Sunrise.</t>
  </si>
  <si>
    <t>Versez lentement le sirop de grenadine en vérifiant que le sirop tombe bien au fond du verre.</t>
  </si>
  <si>
    <t>Verre à cocktail</t>
  </si>
  <si>
    <t>Ajoutez 3 à 4 glaçons.</t>
  </si>
  <si>
    <t>en mélangeant légèrement à l’aide d’une cuillère à mélange.</t>
  </si>
  <si>
    <t>Décorez le rebord du verre avec une rondelle de citron vert.</t>
  </si>
  <si>
    <t>Cosmopolitan</t>
  </si>
  <si>
    <t>Remplissez votre shaker à moitié de glaçons.</t>
  </si>
  <si>
    <t>Prenez un citron vert frais et pressez-le. Ajoutez-le aux autres ingrédients.</t>
  </si>
  <si>
    <t>Shakez le cocktail.</t>
  </si>
  <si>
    <t>Versez la vodka.</t>
  </si>
  <si>
    <t>Ajoutez le Cointreau et le sirop de fraise.</t>
  </si>
  <si>
    <t>Prenez un verre et munissez vous de la passoire à cocktail.</t>
  </si>
  <si>
    <t>Filtrez le contenu dans votre verre à cocktail.</t>
  </si>
  <si>
    <t>Munissez-vous d’un shaker et déposez-y quelques glaçons.</t>
  </si>
  <si>
    <t>Shakez le tout environ 15 secondes pour refroidir le mélange.</t>
  </si>
  <si>
    <t>Prenez un verre à mojito et pilez les dés de citron vert dedans.</t>
  </si>
  <si>
    <t>Déposez la menthe fraîche dans le verre et écrasez-la délicatement, sans la broyer.</t>
  </si>
  <si>
    <t>Ajoutez des glaçons  jusqu’à la moitié.</t>
  </si>
  <si>
    <t>Ajoutez le sirop de Mojito, mélangez le tout et allongez de soda</t>
  </si>
  <si>
    <t>Verre</t>
  </si>
  <si>
    <t>Commencez par remplir votre shaker en y ajoutant des glaçons.</t>
  </si>
  <si>
    <t>Refermez le shaker.</t>
  </si>
  <si>
    <t>Secouez vigoureusement jusqu’à l’obtention d’un mélange bien homogène.</t>
  </si>
  <si>
    <t>Versez le mélange dans un verre de type cocktail ou tulipe qui est le contenant idéal pour accueillir ce délicieux nectar fruité.</t>
  </si>
  <si>
    <t>Retenez les glaçons à l’aide d’une passoire à cocktail.</t>
  </si>
  <si>
    <t>Virgin Piña Colada</t>
  </si>
  <si>
    <t>Dans un verre à Mojito, disposez 6 à 8 feuilles de menthe entières préalablement lavées et essuyées.</t>
  </si>
  <si>
    <t>Prenez votre demi citron vert.</t>
  </si>
  <si>
    <t>Coupez-le en dés.</t>
  </si>
  <si>
    <t>Déposez-le dans le verre.</t>
  </si>
  <si>
    <t>Écrasez délicatement avec un pilon les dés de citron, les feuilles de menthe et le sucre de canne afin d’en extraire le jus.</t>
  </si>
  <si>
    <t>Préparez la glace pilée en déposant les glaçons dans un torchon.</t>
  </si>
  <si>
    <t>Refermez-le.</t>
  </si>
  <si>
    <t>À l’aide d’un pilon spécial cocktail, frappez fortement pour casser la glace.</t>
  </si>
  <si>
    <t>Ajoutez votre glace pilée dans le verre.</t>
  </si>
  <si>
    <t>À l’aide d’un verre doseur, versez 4 cl de rhum blanc dans un verre à mojito.</t>
  </si>
  <si>
    <t>À l’aide d’un verre doseur, versez 2 cl de sirop de sucre de canne dans votre verre.</t>
  </si>
  <si>
    <r>
      <t>Versez la  </t>
    </r>
    <r>
      <rPr>
        <sz val="14"/>
        <color rgb="FF000000"/>
        <rFont val="Optima Regular"/>
      </rPr>
      <t xml:space="preserve">vodka, </t>
    </r>
    <r>
      <rPr>
        <sz val="14"/>
        <color rgb="FF1D1D1B"/>
        <rFont val="Optima Regular"/>
      </rPr>
      <t>le jus d'orange, et le jus de cranberry.</t>
    </r>
  </si>
  <si>
    <r>
      <t>Ajoutez la </t>
    </r>
    <r>
      <rPr>
        <sz val="12"/>
        <color rgb="FF000000"/>
        <rFont val="Optima Regular"/>
      </rPr>
      <t>vodka</t>
    </r>
    <r>
      <rPr>
        <sz val="12"/>
        <color rgb="FF1D1D1B"/>
        <rFont val="Optima Regular"/>
      </rPr>
      <t>, la </t>
    </r>
    <r>
      <rPr>
        <sz val="12"/>
        <color rgb="FF000000"/>
        <rFont val="Optima Regular"/>
      </rPr>
      <t xml:space="preserve">tequila </t>
    </r>
    <r>
      <rPr>
        <sz val="12"/>
        <color rgb="FF1D1D1B"/>
        <rFont val="Optima Regular"/>
      </rPr>
      <t>, le </t>
    </r>
    <r>
      <rPr>
        <sz val="12"/>
        <color rgb="FF000000"/>
        <rFont val="Optima Regular"/>
      </rPr>
      <t>rhum blanc</t>
    </r>
    <r>
      <rPr>
        <sz val="12"/>
        <color rgb="FF1D1D1B"/>
        <rFont val="Optima Regular"/>
      </rPr>
      <t>, le </t>
    </r>
    <r>
      <rPr>
        <sz val="12"/>
        <color rgb="FF000000"/>
        <rFont val="Optima Regular"/>
      </rPr>
      <t xml:space="preserve">gin </t>
    </r>
    <r>
      <rPr>
        <sz val="12"/>
        <color rgb="FF1D1D1B"/>
        <rFont val="Optima Regular"/>
      </rPr>
      <t> et le triple sec dans un shaker avec des glaçons.</t>
    </r>
  </si>
  <si>
    <r>
      <t>Versez le </t>
    </r>
    <r>
      <rPr>
        <sz val="14"/>
        <color rgb="FF000000"/>
        <rFont val="Optima Regular"/>
      </rPr>
      <t>sirop de canne Canadou</t>
    </r>
    <r>
      <rPr>
        <sz val="14"/>
        <color rgb="FF1D1D1B"/>
        <rFont val="Optima Regular"/>
      </rPr>
      <t> et la </t>
    </r>
    <r>
      <rPr>
        <sz val="14"/>
        <color rgb="FF000000"/>
        <rFont val="Optima Regular"/>
      </rPr>
      <t>cachaça Aguacana</t>
    </r>
    <r>
      <rPr>
        <sz val="14"/>
        <color rgb="FF1D1D1B"/>
        <rFont val="Optima Regular"/>
      </rPr>
      <t>.</t>
    </r>
  </si>
  <si>
    <r>
      <t>Munissez-vous d’un verre à cocktail et versez le </t>
    </r>
    <r>
      <rPr>
        <sz val="14"/>
        <color rgb="FF000000"/>
        <rFont val="Optima Regular"/>
      </rPr>
      <t>rhum blanc</t>
    </r>
    <r>
      <rPr>
        <sz val="14"/>
        <color rgb="FF1D1D1B"/>
        <rFont val="Optima Regular"/>
      </rPr>
      <t>, le jus de citron vert et le </t>
    </r>
    <r>
      <rPr>
        <sz val="14"/>
        <color rgb="FF000000"/>
        <rFont val="Optima Regular"/>
      </rPr>
      <t>sucre de canne Canadou</t>
    </r>
    <r>
      <rPr>
        <sz val="14"/>
        <color rgb="FF1D1D1B"/>
        <rFont val="Optima Regular"/>
      </rPr>
      <t> </t>
    </r>
  </si>
  <si>
    <r>
      <t>Ajoutez ensuite, directement sur la glace, le </t>
    </r>
    <r>
      <rPr>
        <sz val="12"/>
        <color rgb="FF000000"/>
        <rFont val="Optima Regular"/>
      </rPr>
      <t>rhum</t>
    </r>
    <r>
      <rPr>
        <sz val="12"/>
        <color rgb="FF1D1D1B"/>
        <rFont val="Optima Regular"/>
      </rPr>
      <t>, le curaçao bleu, le sirop de canne, le lait de coco et enfin le </t>
    </r>
    <r>
      <rPr>
        <sz val="12"/>
        <color rgb="FF000000"/>
        <rFont val="Optima Regular"/>
      </rPr>
      <t>jus d’ananas.</t>
    </r>
  </si>
  <si>
    <t>Secouez énergiquement pendant 1 minute afin de bien les mélanger.</t>
  </si>
  <si>
    <t>Versez le mélange du shaker dans votre verre long drink.</t>
  </si>
  <si>
    <r>
      <t>Dans un shaker, versez le </t>
    </r>
    <r>
      <rPr>
        <sz val="12"/>
        <color rgb="FF000000"/>
        <rFont val="Optima Regular"/>
      </rPr>
      <t>rhum blanc</t>
    </r>
    <r>
      <rPr>
        <sz val="12"/>
        <color rgb="FF1D1D1B"/>
        <rFont val="Optima Regular"/>
      </rPr>
      <t>, le </t>
    </r>
    <r>
      <rPr>
        <sz val="12"/>
        <color rgb="FF000000"/>
        <rFont val="Optima Regular"/>
      </rPr>
      <t>jus d’ananas</t>
    </r>
    <r>
      <rPr>
        <sz val="12"/>
        <color rgb="FF1D1D1B"/>
        <rFont val="Optima Regular"/>
      </rPr>
      <t>, le lait de coco et le </t>
    </r>
    <r>
      <rPr>
        <sz val="12"/>
        <color rgb="FF000000"/>
        <rFont val="Optima Regular"/>
      </rPr>
      <t>sirop de canne Canadou</t>
    </r>
    <r>
      <rPr>
        <sz val="12"/>
        <color rgb="FF1D1D1B"/>
        <rFont val="Optima Regular"/>
      </rPr>
      <t>.</t>
    </r>
  </si>
  <si>
    <t>Préparez un expresso fort et laissez-le refroidir complètement.</t>
  </si>
  <si>
    <t>Mettez à refroidir votre verre à cocktail.</t>
  </si>
  <si>
    <t>Secouez vigoureusement pendant environ 10 à 15 secondes pour bien mélanger les ingrédients.</t>
  </si>
  <si>
    <t>Allongez votre cocktail avec du soda ou du sprite.</t>
  </si>
  <si>
    <t>Versez les jus d’ananas, de fruits de la passion, de citron et la grenadine dans un shaker rempli de glace.</t>
  </si>
  <si>
    <t>Munissez-vous de votre verre long drink.</t>
  </si>
  <si>
    <t>Rafraîchissez le verre en y ajoutant une bonne quantité de glaçons.</t>
  </si>
  <si>
    <t>Versez-y le mélange du shaker.</t>
  </si>
  <si>
    <t>Dans un shaker, versez le jus d’ananas Caraïbos, le lait de coco et le sirop de canne Canadou.</t>
  </si>
  <si>
    <t>Secouez énergiquement. Versez dans un verre en filtrant les glaçons.</t>
  </si>
  <si>
    <r>
      <t>Ajoutez la </t>
    </r>
    <r>
      <rPr>
        <sz val="12"/>
        <color rgb="FF000000"/>
        <rFont val="Optima Regular"/>
      </rPr>
      <t>vodka</t>
    </r>
    <r>
      <rPr>
        <sz val="12"/>
        <color rgb="FF1D1D1B"/>
        <rFont val="Optima Regular"/>
      </rPr>
      <t>, le café espresso refroidi, la liqueur de café et l'Amarula.</t>
    </r>
  </si>
  <si>
    <t>MONIN TIRAMISU SIROP 70CL</t>
  </si>
  <si>
    <t>MONIN SIROP CHOCO BLANC 70CL</t>
  </si>
  <si>
    <t>MONIN RASPBERRY TEA SIROP 70CL</t>
  </si>
  <si>
    <t>MONIN MANDARINE SIROP 70CL</t>
  </si>
  <si>
    <t>MONIN POP CORN SIROP 70CL</t>
  </si>
  <si>
    <t>SIROP BROWNIE 70CL MONIN</t>
  </si>
  <si>
    <t>MONIN ORANGE SPRITZ SIROP 70CL</t>
  </si>
  <si>
    <t>MONIN LEMONDE BASE SIROP 70CL</t>
  </si>
  <si>
    <t>MONIN FALERNUM SIROP 70CL</t>
  </si>
  <si>
    <t>MONIN GREEN TEA MENTHE VERTE SIROP 70CL</t>
  </si>
  <si>
    <t>MONIN SALTED CARAMEL SIROP 70CL</t>
  </si>
  <si>
    <t>MONIN HAZELNUT SIROP 70CL</t>
  </si>
  <si>
    <t>MONIN PAMPLEMOUSSE ROSE SIROP 70CL</t>
  </si>
  <si>
    <t>MONIN SIROP TOFFEE NUT 70CL</t>
  </si>
  <si>
    <t>MONIN SIROP BASILIC 70CL</t>
  </si>
  <si>
    <t>MONIN SIROP BLUEBERRY MYRTILLE 70CL</t>
  </si>
  <si>
    <t>MONIN ROSE SIROP 70CL</t>
  </si>
  <si>
    <t>MONIN TRIPLE SEC SIROP 70CL</t>
  </si>
  <si>
    <t>MONIN CANNELLE SIROP 70CL</t>
  </si>
  <si>
    <t>MONIN CARAMEL SIROP 70CL</t>
  </si>
  <si>
    <t>MONIN CREME BRULEE SIROP 70CL</t>
  </si>
  <si>
    <t>MONIN MURES BLACKBERRY SIROP 70CL</t>
  </si>
  <si>
    <t>MONIN CHOCOLAT SIROP 70CL</t>
  </si>
  <si>
    <t>MONIN COCONUT SIROP 70CL</t>
  </si>
  <si>
    <t>MONIN CAFE SIROP 70CL</t>
  </si>
  <si>
    <t>MONIN HIBISCUS SIROP 70CL</t>
  </si>
  <si>
    <t>MONIN CHOCOLATE COOKIE SIROP 70CL</t>
  </si>
  <si>
    <t>MONIN BITTER SIROP 70CL</t>
  </si>
  <si>
    <t>MONIN CUCUMBER SIROP 70CL</t>
  </si>
  <si>
    <t>MONIN MANGO SIROP 70CL</t>
  </si>
  <si>
    <t>MONIN FRUIT DE LA PASSION SIROP 70CL</t>
  </si>
  <si>
    <t>MONIN PEACH TEA SIROP 70CL</t>
  </si>
  <si>
    <t>MONIN SIROP VANILLA DE MADAGASCAR 70CL</t>
  </si>
  <si>
    <t>MONIN BANANE SIROP 70CL</t>
  </si>
  <si>
    <t>MONIN SIROP ANANAS 70CL</t>
  </si>
  <si>
    <t>MONIN WATERMELON SIROP 70CL</t>
  </si>
  <si>
    <t>MONIN MELON SIROP 70CL</t>
  </si>
  <si>
    <t>MONIN ABRICOT SIROP 70CL</t>
  </si>
  <si>
    <t>MONIN AMARETTO SIROP 70CL</t>
  </si>
  <si>
    <t>MONIN LEAMON TEA SIROP 70CL</t>
  </si>
  <si>
    <t>MONIN HAZELNUT SIROP 1L</t>
  </si>
  <si>
    <t>MONIN CARAMEL SIROP 1LTR</t>
  </si>
  <si>
    <t>MONIN PUR SURE DE CANNE SIROP 1LTR</t>
  </si>
  <si>
    <t>MONIN GRENADINE SIROP 1LTR</t>
  </si>
  <si>
    <t>MONIN VANILLE SIROP 1LTR</t>
  </si>
  <si>
    <t>MONIN PASSION SIROP 1LT</t>
  </si>
  <si>
    <t>MONIN DARK CHOCOLATE SAUCE 1.89LTR</t>
  </si>
  <si>
    <t>MONIN CHOCOLATE FRAPPE POWDER 2KG</t>
  </si>
  <si>
    <t>MONIN FRAPPE BASE VANILLA POWDER 2KG</t>
  </si>
  <si>
    <t>MONIN FRUIT MANDARINE 1L</t>
  </si>
  <si>
    <t>MONIN FRUIT BLUEBERRY MYRTILLE 1L</t>
  </si>
  <si>
    <t>MONIN FRUIT RUBY GRAPEFRUIT 1L</t>
  </si>
  <si>
    <t>MONIN FRUIT APPLE 1L</t>
  </si>
  <si>
    <t>MONIN WILLIAMS PEAR FRUIT 1L</t>
  </si>
  <si>
    <t>MONIN RED BERRIES FRUIT 1LTR</t>
  </si>
  <si>
    <t>MONIN PASSION FRUIT 1LTR</t>
  </si>
  <si>
    <t>MONIN FRAISE FRUIT 1LTR</t>
  </si>
  <si>
    <t>MONIN COCONUT FRUIT 1LTR</t>
  </si>
  <si>
    <t>MONIN MANGO FRUIT 1LTR</t>
  </si>
  <si>
    <t>MONIN PEACH FRUIT 1LTR</t>
  </si>
  <si>
    <t>MONIN ANANAS FRUIT 1LT</t>
  </si>
  <si>
    <t>MONIN BANANA FRUIT 1L</t>
  </si>
  <si>
    <t>MONIN YUZU FRUIT 1L</t>
  </si>
  <si>
    <t>MONIN BLUE CURACAO LIQUEUR 70CL</t>
  </si>
  <si>
    <t>MONIN TRIPLE SEC CURACAO LIQUEUR 70CL</t>
  </si>
  <si>
    <t>MONIN CACAO BLANC LIQ. 70CL</t>
  </si>
  <si>
    <t>MONIN APRICOT BRANDY LIQ. 70CL</t>
  </si>
  <si>
    <t>MONIN AMARETTO LIQUEUR 70CL</t>
  </si>
  <si>
    <t>MONIN FLEUR DE SUREAU LIQUEUR 70CL</t>
  </si>
  <si>
    <t>MONIN WATERMELON LIQUEUR 70CL</t>
  </si>
  <si>
    <r>
      <t xml:space="preserve">104 FETTUCCINE </t>
    </r>
    <r>
      <rPr>
        <sz val="12"/>
        <color rgb="FFFF0000"/>
        <rFont val="Arial"/>
        <family val="2"/>
        <scheme val="minor"/>
      </rPr>
      <t>INTEGRALI</t>
    </r>
    <r>
      <rPr>
        <sz val="12"/>
        <color theme="1"/>
        <rFont val="Arial"/>
        <family val="2"/>
        <scheme val="minor"/>
      </rPr>
      <t xml:space="preserve"> 12 X 500G</t>
    </r>
  </si>
  <si>
    <r>
      <t xml:space="preserve">15 SPAGHETTI </t>
    </r>
    <r>
      <rPr>
        <sz val="12"/>
        <color rgb="FFFF0000"/>
        <rFont val="Arial"/>
        <family val="2"/>
        <scheme val="minor"/>
      </rPr>
      <t>GLUTEN FREE</t>
    </r>
    <r>
      <rPr>
        <sz val="12"/>
        <color theme="1"/>
        <rFont val="Arial"/>
        <family val="2"/>
        <scheme val="minor"/>
      </rPr>
      <t xml:space="preserve"> 12 X 400G</t>
    </r>
  </si>
  <si>
    <r>
      <t xml:space="preserve">15 SPAGHETTI </t>
    </r>
    <r>
      <rPr>
        <sz val="12"/>
        <color rgb="FFFF0000"/>
        <rFont val="Arial"/>
        <family val="2"/>
        <scheme val="minor"/>
      </rPr>
      <t>INTEGRALI</t>
    </r>
    <r>
      <rPr>
        <sz val="12"/>
        <color theme="1"/>
        <rFont val="Arial"/>
        <family val="2"/>
        <scheme val="minor"/>
      </rPr>
      <t xml:space="preserve"> 18 X 500G</t>
    </r>
  </si>
  <si>
    <r>
      <t xml:space="preserve">20 PENNE RIGATE </t>
    </r>
    <r>
      <rPr>
        <sz val="12"/>
        <color rgb="FFFF0000"/>
        <rFont val="Arial"/>
        <family val="2"/>
        <scheme val="minor"/>
      </rPr>
      <t>GLUTEN FREE</t>
    </r>
    <r>
      <rPr>
        <sz val="12"/>
        <color theme="1"/>
        <rFont val="Arial"/>
        <family val="2"/>
        <scheme val="minor"/>
      </rPr>
      <t xml:space="preserve"> 14 X 400G</t>
    </r>
  </si>
  <si>
    <r>
      <t xml:space="preserve">20 PENNE RIGATE </t>
    </r>
    <r>
      <rPr>
        <sz val="12"/>
        <color rgb="FFFF0000"/>
        <rFont val="Arial"/>
        <family val="2"/>
        <scheme val="minor"/>
      </rPr>
      <t>INTEGRALI</t>
    </r>
    <r>
      <rPr>
        <sz val="12"/>
        <color theme="1"/>
        <rFont val="Arial"/>
        <family val="2"/>
        <scheme val="minor"/>
      </rPr>
      <t xml:space="preserve"> 12 X 500G</t>
    </r>
  </si>
  <si>
    <r>
      <t xml:space="preserve">66 FARFALLE </t>
    </r>
    <r>
      <rPr>
        <sz val="12"/>
        <color rgb="FFFF0000"/>
        <rFont val="Arial"/>
        <family val="2"/>
        <scheme val="minor"/>
      </rPr>
      <t>INTEGRALI</t>
    </r>
    <r>
      <rPr>
        <sz val="12"/>
        <color theme="1"/>
        <rFont val="Arial"/>
        <family val="2"/>
        <scheme val="minor"/>
      </rPr>
      <t xml:space="preserve"> 12 X 500G</t>
    </r>
  </si>
  <si>
    <t xml:space="preserve">Old Fashioned </t>
  </si>
  <si>
    <t>x</t>
  </si>
  <si>
    <t>Pop Cola</t>
  </si>
  <si>
    <t>Milkshake fraise</t>
  </si>
  <si>
    <t>MONIN BASE NEUTRE POWDER 2KG</t>
  </si>
  <si>
    <t xml:space="preserve">Blender : </t>
  </si>
  <si>
    <t>Direct au verre :</t>
  </si>
  <si>
    <t xml:space="preserve">Verre à mélange : </t>
  </si>
  <si>
    <t xml:space="preserve">Shaker : </t>
  </si>
  <si>
    <t>Frozen Kiwi</t>
  </si>
  <si>
    <t>MONIN KIWI SIROP 1L</t>
  </si>
  <si>
    <t xml:space="preserve">Smoothie kiwi yuzu </t>
  </si>
  <si>
    <t>Milkshake</t>
  </si>
  <si>
    <t>Milkshake Pomme</t>
  </si>
  <si>
    <t>AMARULA 75CL</t>
  </si>
  <si>
    <t>Jäger Naughty German</t>
  </si>
  <si>
    <t>Shaker :</t>
  </si>
  <si>
    <t>Verre à mélange :</t>
  </si>
  <si>
    <t>Blender :</t>
  </si>
  <si>
    <t xml:space="preserve">Blue Lady </t>
  </si>
  <si>
    <t>MONIN BLUE CURACAO 70CL</t>
  </si>
  <si>
    <t>HENDRICKS GIN 700ML</t>
  </si>
  <si>
    <t>JAGERMEISTER 1L</t>
  </si>
  <si>
    <t>BEEFEATER LONDON DRY GIN 70CL</t>
  </si>
  <si>
    <t xml:space="preserve">Pink Lady </t>
  </si>
  <si>
    <t>70%-90%</t>
  </si>
  <si>
    <t xml:space="preserve">Taux de marque </t>
  </si>
  <si>
    <t xml:space="preserve">Référence taux de marque idéal </t>
  </si>
  <si>
    <t xml:space="preserve">Spanish latte arômatisé </t>
  </si>
  <si>
    <t>CREME DE CASSIS</t>
  </si>
  <si>
    <t>Patrón XO Café</t>
  </si>
  <si>
    <t>Piña colada</t>
  </si>
  <si>
    <t>Folie Douce</t>
  </si>
  <si>
    <t>Apérol Spritz</t>
  </si>
  <si>
    <t>Kir Royal</t>
  </si>
</sst>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4C10-C7DE-B04A-A8C6-CE19A085C4DE}">
  <sheetPr>
    <pageSetUpPr fitToPage="1"/>
  </sheetPr>
  <dimension ref="B8:N51"/>
  <sheetViews>
    <sheetView topLeftCell="A21" zoomScale="136" zoomScaleNormal="68" zoomScaleSheetLayoutView="113" workbookViewId="0">
      <selection activeCell="F35" sqref="F35"/>
    </sheetView>
  </sheetViews>
  <sheetFormatPr baseColWidth="10" defaultRowHeight="14"/>
  <cols>
    <col min="1" max="1" width="22.1640625" style="11" customWidth="1"/>
    <col min="2" max="2" width="56.5" style="9" customWidth="1"/>
    <col min="3" max="3" width="17.5" style="10" bestFit="1" customWidth="1"/>
    <col min="4" max="4" width="21.33203125" style="10" bestFit="1" customWidth="1"/>
    <col min="5" max="5" width="19.6640625" style="10" customWidth="1"/>
    <col min="6" max="6" width="17" style="54" customWidth="1"/>
    <col min="7" max="7" width="10.83203125" style="30"/>
    <col min="8" max="8" width="20.1640625" style="11" bestFit="1" customWidth="1"/>
    <col min="9" max="16384" width="10.83203125" style="11"/>
  </cols>
  <sheetData>
    <row r="8" spans="2:14" ht="15" thickBot="1"/>
    <row r="9" spans="2:14" ht="27" thickBot="1">
      <c r="B9" s="233" t="s">
        <v>0</v>
      </c>
      <c r="C9" s="234"/>
      <c r="D9" s="234"/>
      <c r="E9" s="234"/>
      <c r="F9" s="235"/>
      <c r="G9" s="31"/>
      <c r="H9" s="31"/>
      <c r="I9" s="31"/>
      <c r="J9" s="31"/>
      <c r="K9" s="31"/>
      <c r="L9" s="31"/>
      <c r="M9" s="31"/>
      <c r="N9" s="31"/>
    </row>
    <row r="10" spans="2:14" ht="15" thickBot="1">
      <c r="B10" s="12"/>
      <c r="H10" s="30"/>
      <c r="I10" s="30"/>
      <c r="J10" s="30"/>
      <c r="K10" s="30"/>
      <c r="L10" s="30"/>
      <c r="M10" s="30"/>
      <c r="N10" s="30"/>
    </row>
    <row r="11" spans="2:14" ht="27" thickBot="1">
      <c r="B11" s="233" t="s">
        <v>274</v>
      </c>
      <c r="C11" s="234"/>
      <c r="D11" s="234"/>
      <c r="E11" s="234"/>
      <c r="F11" s="235"/>
      <c r="G11" s="31"/>
      <c r="H11" s="31"/>
      <c r="I11" s="31"/>
      <c r="J11" s="31"/>
      <c r="K11" s="31"/>
      <c r="L11" s="31"/>
      <c r="M11" s="31"/>
      <c r="N11" s="31"/>
    </row>
    <row r="12" spans="2:14" ht="15" thickBot="1">
      <c r="B12" s="13"/>
      <c r="H12" s="32"/>
      <c r="I12" s="30"/>
      <c r="J12" s="30"/>
      <c r="K12" s="30"/>
      <c r="L12" s="30"/>
      <c r="M12" s="30"/>
      <c r="N12" s="30"/>
    </row>
    <row r="13" spans="2:14" ht="27" thickBot="1">
      <c r="B13" s="230" t="s">
        <v>488</v>
      </c>
      <c r="C13" s="231"/>
      <c r="D13" s="231"/>
      <c r="E13" s="231"/>
      <c r="F13" s="232"/>
      <c r="G13" s="33"/>
      <c r="H13" s="33"/>
      <c r="I13" s="33"/>
      <c r="J13" s="33"/>
      <c r="K13" s="33"/>
      <c r="L13" s="33"/>
      <c r="M13" s="33"/>
      <c r="N13" s="33"/>
    </row>
    <row r="14" spans="2:14">
      <c r="B14" s="12"/>
    </row>
    <row r="15" spans="2:14" ht="22">
      <c r="B15" s="60" t="s">
        <v>292</v>
      </c>
      <c r="C15" s="22">
        <v>1</v>
      </c>
    </row>
    <row r="16" spans="2:14" ht="21">
      <c r="B16" s="23"/>
      <c r="C16" s="24"/>
    </row>
    <row r="17" spans="2:6" ht="22">
      <c r="B17" s="21" t="s">
        <v>1</v>
      </c>
      <c r="C17" s="52">
        <f>(C18*F38)+F38</f>
        <v>15.016181771428572</v>
      </c>
    </row>
    <row r="18" spans="2:6" ht="22">
      <c r="B18" s="21" t="s">
        <v>2</v>
      </c>
      <c r="C18" s="26">
        <v>0.16</v>
      </c>
    </row>
    <row r="19" spans="2:6">
      <c r="B19" s="11"/>
      <c r="C19" s="11"/>
    </row>
    <row r="20" spans="2:6" ht="21" thickBot="1">
      <c r="B20" s="73" t="s">
        <v>294</v>
      </c>
      <c r="C20" s="13"/>
    </row>
    <row r="21" spans="2:6" ht="22" thickTop="1" thickBot="1">
      <c r="B21" s="74" t="s">
        <v>295</v>
      </c>
      <c r="C21" s="105"/>
    </row>
    <row r="22" spans="2:6" ht="21" thickTop="1">
      <c r="B22" s="74" t="s">
        <v>296</v>
      </c>
      <c r="C22" s="13"/>
    </row>
    <row r="23" spans="2:6" ht="20">
      <c r="B23" s="74" t="s">
        <v>297</v>
      </c>
      <c r="C23" s="11"/>
    </row>
    <row r="25" spans="2:6" ht="20" thickBot="1">
      <c r="B25" s="62" t="s">
        <v>298</v>
      </c>
      <c r="C25" s="62" t="s">
        <v>326</v>
      </c>
    </row>
    <row r="26" spans="2:6" ht="45" thickBot="1">
      <c r="B26" s="28" t="s">
        <v>3</v>
      </c>
      <c r="C26" s="29" t="s">
        <v>94</v>
      </c>
      <c r="D26" s="29" t="s">
        <v>5</v>
      </c>
      <c r="E26" s="29" t="s">
        <v>4</v>
      </c>
      <c r="F26" s="55" t="s">
        <v>6</v>
      </c>
    </row>
    <row r="27" spans="2:6" ht="17">
      <c r="B27" s="8" t="s">
        <v>242</v>
      </c>
      <c r="C27" s="5" t="str">
        <f>_xlfn.XLOOKUP(Tableau5712314161828[[#This Row],[Article]],'Liste des fournisseurs'!$B$12:$B$307,'Liste des fournisseurs'!$C$12:$C$307,"")</f>
        <v>cl</v>
      </c>
      <c r="D27" s="20">
        <v>12</v>
      </c>
      <c r="E27" s="6">
        <f>_xlfn.XLOOKUP(Tableau5712314161828[[#This Row],[Article]],'Liste des fournisseurs'!$B$12:$B$307,'Liste des fournisseurs'!$F$12:$F$307,"")</f>
        <v>2.86E-2</v>
      </c>
      <c r="F27" s="7">
        <f>IFERROR(Tableau5712314161828[[#This Row],[Coût d''achat HT à l''unité]]*Tableau5712314161828[[#This Row],[Unités nécessaires]],"")</f>
        <v>0.34320000000000001</v>
      </c>
    </row>
    <row r="28" spans="2:6" ht="17">
      <c r="B28" s="8" t="s">
        <v>263</v>
      </c>
      <c r="C28" s="5" t="str">
        <f>_xlfn.XLOOKUP(Tableau5712314161828[[#This Row],[Article]],'Liste des fournisseurs'!$B$12:$B$307,'Liste des fournisseurs'!$C$12:$C$307,"")</f>
        <v>cl</v>
      </c>
      <c r="D28" s="20">
        <v>5</v>
      </c>
      <c r="E28" s="6">
        <f>_xlfn.XLOOKUP(Tableau5712314161828[[#This Row],[Article]],'Liste des fournisseurs'!$B$12:$B$307,'Liste des fournisseurs'!$F$12:$F$307,"")</f>
        <v>6.5000000000000006E-3</v>
      </c>
      <c r="F28" s="7">
        <f>IFERROR(Tableau5712314161828[[#This Row],[Coût d''achat HT à l''unité]]*Tableau5712314161828[[#This Row],[Unités nécessaires]],"")</f>
        <v>3.2500000000000001E-2</v>
      </c>
    </row>
    <row r="29" spans="2:6" ht="17">
      <c r="B29" s="8" t="s">
        <v>241</v>
      </c>
      <c r="C29" s="5" t="str">
        <f>_xlfn.XLOOKUP(Tableau5712314161828[[#This Row],[Article]],'Liste des fournisseurs'!$B$12:$B$307,'Liste des fournisseurs'!$C$12:$C$307,"")</f>
        <v>cl</v>
      </c>
      <c r="D29" s="20">
        <v>1</v>
      </c>
      <c r="E29" s="6">
        <f>_xlfn.XLOOKUP(Tableau5712314161828[[#This Row],[Article]],'Liste des fournisseurs'!$B$12:$B$307,'Liste des fournisseurs'!$F$12:$F$307,"")</f>
        <v>0.17142857142857143</v>
      </c>
      <c r="F29" s="7">
        <f>IFERROR(Tableau5712314161828[[#This Row],[Coût d''achat HT à l''unité]]*Tableau5712314161828[[#This Row],[Unités nécessaires]],"")</f>
        <v>0.17142857142857143</v>
      </c>
    </row>
    <row r="30" spans="2:6" ht="17">
      <c r="B30" s="8" t="s">
        <v>438</v>
      </c>
      <c r="C30" s="5" t="str">
        <f>_xlfn.XLOOKUP(Tableau5712314161828[[#This Row],[Article]],'Liste des fournisseurs'!$B$12:$B$307,'Liste des fournisseurs'!$C$12:$C$307,"")</f>
        <v>cl</v>
      </c>
      <c r="D30" s="20">
        <v>5</v>
      </c>
      <c r="E30" s="6">
        <f>_xlfn.XLOOKUP(Tableau5712314161828[[#This Row],[Article]],'Liste des fournisseurs'!$B$12:$B$307,'Liste des fournisseurs'!$F$12:$F$307,"")</f>
        <v>0.16</v>
      </c>
      <c r="F30" s="7">
        <f>IFERROR(Tableau5712314161828[[#This Row],[Coût d''achat HT à l''unité]]*Tableau5712314161828[[#This Row],[Unités nécessaires]],"")</f>
        <v>0.8</v>
      </c>
    </row>
    <row r="31" spans="2:6" ht="17">
      <c r="B31" s="8" t="s">
        <v>117</v>
      </c>
      <c r="C31" s="5" t="str">
        <f>_xlfn.XLOOKUP(Tableau5712314161828[[#This Row],[Article]],'Liste des fournisseurs'!$B$12:$B$307,'Liste des fournisseurs'!$C$12:$C$307,"")</f>
        <v>cl</v>
      </c>
      <c r="D31" s="20">
        <v>5</v>
      </c>
      <c r="E31" s="6">
        <f>_xlfn.XLOOKUP(Tableau5712314161828[[#This Row],[Article]],'Liste des fournisseurs'!$B$12:$B$307,'Liste des fournisseurs'!$F$12:$F$307,"")</f>
        <v>0.155</v>
      </c>
      <c r="F31" s="7">
        <f>IFERROR(Tableau5712314161828[[#This Row],[Coût d''achat HT à l''unité]]*Tableau5712314161828[[#This Row],[Unités nécessaires]],"")</f>
        <v>0.77500000000000002</v>
      </c>
    </row>
    <row r="32" spans="2:6" ht="17">
      <c r="B32" s="112" t="s">
        <v>7</v>
      </c>
      <c r="C32" s="38"/>
      <c r="D32" s="38"/>
      <c r="E32" s="38"/>
      <c r="F32" s="155">
        <f>SUM(Tableau5712314161828[Prix de revient HT])</f>
        <v>2.1221285714285716</v>
      </c>
    </row>
    <row r="33" spans="2:6" ht="17">
      <c r="B33" s="112" t="s">
        <v>8</v>
      </c>
      <c r="C33" s="38"/>
      <c r="D33" s="38"/>
      <c r="E33" s="38"/>
      <c r="F33" s="155">
        <f>F32/C15</f>
        <v>2.1221285714285716</v>
      </c>
    </row>
    <row r="34" spans="2:6" ht="17">
      <c r="B34" s="112" t="s">
        <v>10</v>
      </c>
      <c r="C34" s="38"/>
      <c r="D34" s="38"/>
      <c r="E34" s="38"/>
      <c r="F34" s="155">
        <f>F33</f>
        <v>2.1221285714285716</v>
      </c>
    </row>
    <row r="35" spans="2:6" ht="20">
      <c r="B35" s="214" t="s">
        <v>13</v>
      </c>
      <c r="C35" s="219"/>
      <c r="D35" s="219"/>
      <c r="E35" s="219"/>
      <c r="F35" s="220">
        <v>6.1</v>
      </c>
    </row>
    <row r="36" spans="2:6" ht="20">
      <c r="B36" s="51" t="s">
        <v>483</v>
      </c>
      <c r="C36" s="219"/>
      <c r="D36" s="219"/>
      <c r="E36" s="219"/>
      <c r="F36" s="204">
        <f>(F38-F34)/F38</f>
        <v>0.83606557377049173</v>
      </c>
    </row>
    <row r="37" spans="2:6" ht="20">
      <c r="B37" s="205" t="s">
        <v>484</v>
      </c>
      <c r="C37" s="218"/>
      <c r="D37" s="218"/>
      <c r="E37" s="218"/>
      <c r="F37" s="218" t="s">
        <v>482</v>
      </c>
    </row>
    <row r="38" spans="2:6" ht="20">
      <c r="B38" s="156" t="s">
        <v>11</v>
      </c>
      <c r="C38" s="14"/>
      <c r="D38" s="14"/>
      <c r="E38" s="14"/>
      <c r="F38" s="157">
        <f>F34*F35</f>
        <v>12.944984285714286</v>
      </c>
    </row>
    <row r="39" spans="2:6" ht="20">
      <c r="B39" s="156" t="s">
        <v>12</v>
      </c>
      <c r="C39" s="14"/>
      <c r="D39" s="14"/>
      <c r="E39" s="14"/>
      <c r="F39" s="157">
        <f>F38-F34</f>
        <v>10.822855714285714</v>
      </c>
    </row>
    <row r="40" spans="2:6" ht="15" thickBot="1"/>
    <row r="41" spans="2:6" ht="26">
      <c r="B41" s="236" t="s">
        <v>301</v>
      </c>
      <c r="C41" s="237"/>
      <c r="D41" s="237"/>
      <c r="E41" s="237"/>
      <c r="F41" s="238"/>
    </row>
    <row r="42" spans="2:6" ht="16">
      <c r="B42" s="131" t="s">
        <v>369</v>
      </c>
      <c r="C42" s="152"/>
      <c r="D42" s="152"/>
      <c r="E42" s="152"/>
      <c r="F42" s="153"/>
    </row>
    <row r="43" spans="2:6" ht="16">
      <c r="B43" s="131" t="s">
        <v>367</v>
      </c>
      <c r="C43" s="152"/>
      <c r="D43" s="152"/>
      <c r="E43" s="152"/>
      <c r="F43" s="153"/>
    </row>
    <row r="44" spans="2:6" ht="16">
      <c r="B44" s="131" t="s">
        <v>368</v>
      </c>
      <c r="C44" s="154"/>
      <c r="D44" s="152"/>
      <c r="E44" s="152"/>
      <c r="F44" s="153"/>
    </row>
    <row r="45" spans="2:6" ht="17" thickBot="1">
      <c r="B45" s="92"/>
      <c r="C45" s="136"/>
      <c r="D45" s="136"/>
      <c r="E45" s="136"/>
      <c r="F45" s="137"/>
    </row>
    <row r="46" spans="2:6">
      <c r="B46" s="30"/>
    </row>
    <row r="47" spans="2:6">
      <c r="B47" s="30"/>
    </row>
    <row r="48" spans="2:6">
      <c r="B48" s="30"/>
    </row>
    <row r="49" spans="2:2">
      <c r="B49" s="30"/>
    </row>
    <row r="50" spans="2:2">
      <c r="B50" s="30"/>
    </row>
    <row r="51" spans="2:2">
      <c r="B51" s="30"/>
    </row>
  </sheetData>
  <mergeCells count="4">
    <mergeCell ref="B13:F13"/>
    <mergeCell ref="B11:F11"/>
    <mergeCell ref="B9:F9"/>
    <mergeCell ref="B41:F41"/>
  </mergeCells>
  <dataValidations count="1">
    <dataValidation type="list" allowBlank="1" showInputMessage="1" showErrorMessage="1" sqref="B11" xr:uid="{962DC35B-6546-1F46-98FC-36F240725E3A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66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38EF29-1641-6941-B319-FD3F4D369DB6}">
          <x14:formula1>
            <xm:f>'Liste des fournisseurs'!$B$12:$B$307</xm:f>
          </x14:formula1>
          <xm:sqref>B27:B31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F5BC-E8BD-0446-A1B5-CBF5CD45ABE1}">
  <sheetPr>
    <pageSetUpPr fitToPage="1"/>
  </sheetPr>
  <dimension ref="A4:M53"/>
  <sheetViews>
    <sheetView topLeftCell="A9" zoomScale="150" zoomScaleNormal="75" zoomScalePageLayoutView="55" workbookViewId="0">
      <selection activeCell="E35" sqref="E35"/>
    </sheetView>
  </sheetViews>
  <sheetFormatPr baseColWidth="10" defaultRowHeight="14"/>
  <cols>
    <col min="1" max="1" width="47.83203125" style="9" customWidth="1"/>
    <col min="2" max="2" width="11.5" style="10" customWidth="1"/>
    <col min="3" max="3" width="16.33203125" style="10" customWidth="1"/>
    <col min="4" max="4" width="20.5" style="10" customWidth="1"/>
    <col min="5" max="5" width="22.5" style="10" customWidth="1"/>
    <col min="6" max="6" width="10.83203125" style="11"/>
    <col min="7" max="7" width="20.1640625" style="11" bestFit="1" customWidth="1"/>
    <col min="8" max="16384" width="10.83203125" style="11"/>
  </cols>
  <sheetData>
    <row r="4" spans="1:13">
      <c r="F4" s="30"/>
    </row>
    <row r="5" spans="1:13">
      <c r="F5" s="30"/>
    </row>
    <row r="6" spans="1:13" ht="15" thickBot="1">
      <c r="F6" s="30"/>
    </row>
    <row r="7" spans="1:13" ht="27" thickBot="1">
      <c r="A7" s="233" t="s">
        <v>0</v>
      </c>
      <c r="B7" s="234"/>
      <c r="C7" s="234"/>
      <c r="D7" s="234"/>
      <c r="E7" s="235"/>
      <c r="F7" s="31"/>
      <c r="G7" s="31"/>
      <c r="H7" s="31"/>
      <c r="I7" s="31"/>
      <c r="J7" s="31"/>
      <c r="K7" s="31"/>
      <c r="L7" s="31"/>
      <c r="M7" s="31"/>
    </row>
    <row r="8" spans="1:13" ht="15" thickBot="1">
      <c r="A8" s="12"/>
      <c r="F8" s="30"/>
      <c r="G8" s="30"/>
      <c r="H8" s="30"/>
      <c r="I8" s="30"/>
      <c r="J8" s="30"/>
      <c r="K8" s="30"/>
      <c r="L8" s="30"/>
      <c r="M8" s="30"/>
    </row>
    <row r="9" spans="1:13" ht="27" thickBot="1">
      <c r="A9" s="233" t="s">
        <v>273</v>
      </c>
      <c r="B9" s="234"/>
      <c r="C9" s="234"/>
      <c r="D9" s="234"/>
      <c r="E9" s="235"/>
      <c r="F9" s="31"/>
      <c r="G9" s="31"/>
      <c r="H9" s="31"/>
      <c r="I9" s="31"/>
      <c r="J9" s="31"/>
      <c r="K9" s="31"/>
      <c r="L9" s="31"/>
      <c r="M9" s="31"/>
    </row>
    <row r="10" spans="1:13" ht="15" thickBot="1">
      <c r="A10" s="13"/>
      <c r="F10" s="30"/>
      <c r="G10" s="32"/>
      <c r="H10" s="30"/>
      <c r="I10" s="30"/>
      <c r="J10" s="30"/>
      <c r="K10" s="30"/>
      <c r="L10" s="30"/>
      <c r="M10" s="30"/>
    </row>
    <row r="11" spans="1:13" ht="27" thickBot="1">
      <c r="A11" s="230" t="s">
        <v>350</v>
      </c>
      <c r="B11" s="231"/>
      <c r="C11" s="231"/>
      <c r="D11" s="231"/>
      <c r="E11" s="232"/>
      <c r="F11" s="33"/>
      <c r="G11" s="33"/>
      <c r="H11" s="33"/>
      <c r="I11" s="33"/>
      <c r="J11" s="33"/>
      <c r="K11" s="33"/>
      <c r="L11" s="33"/>
      <c r="M11" s="33"/>
    </row>
    <row r="12" spans="1:13" ht="26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1:13" ht="26">
      <c r="A13" s="60" t="s">
        <v>292</v>
      </c>
      <c r="B13" s="22">
        <v>1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4" spans="1:13" ht="21">
      <c r="A14" s="23"/>
      <c r="B14" s="24"/>
    </row>
    <row r="15" spans="1:13" ht="22">
      <c r="A15" s="21" t="s">
        <v>1</v>
      </c>
      <c r="B15" s="52">
        <f>(B16*E37)+E37</f>
        <v>10.172238857142858</v>
      </c>
    </row>
    <row r="16" spans="1:13" ht="22">
      <c r="A16" s="21" t="s">
        <v>2</v>
      </c>
      <c r="B16" s="26">
        <v>0.16</v>
      </c>
    </row>
    <row r="18" spans="1:5" ht="21" thickBot="1">
      <c r="A18" s="73" t="s">
        <v>294</v>
      </c>
      <c r="B18" s="13"/>
    </row>
    <row r="19" spans="1:5" ht="22" thickTop="1" thickBot="1">
      <c r="A19" s="74" t="s">
        <v>295</v>
      </c>
      <c r="B19" s="105"/>
    </row>
    <row r="20" spans="1:5" ht="26" customHeight="1" thickTop="1">
      <c r="A20" s="74" t="s">
        <v>296</v>
      </c>
      <c r="B20" s="13"/>
    </row>
    <row r="21" spans="1:5" ht="26" customHeight="1">
      <c r="A21" s="74" t="s">
        <v>297</v>
      </c>
      <c r="B21" s="11"/>
    </row>
    <row r="22" spans="1:5" ht="26" customHeight="1"/>
    <row r="23" spans="1:5" ht="20" thickBot="1">
      <c r="A23" s="62" t="s">
        <v>298</v>
      </c>
      <c r="B23" s="62" t="s">
        <v>326</v>
      </c>
    </row>
    <row r="24" spans="1:5" ht="45" thickBot="1">
      <c r="A24" s="28" t="s">
        <v>3</v>
      </c>
      <c r="B24" s="29" t="s">
        <v>94</v>
      </c>
      <c r="C24" s="29" t="s">
        <v>5</v>
      </c>
      <c r="D24" s="29" t="s">
        <v>4</v>
      </c>
      <c r="E24" s="29" t="s">
        <v>6</v>
      </c>
    </row>
    <row r="25" spans="1:5" ht="17">
      <c r="A25" s="8" t="s">
        <v>242</v>
      </c>
      <c r="B25" s="5" t="str">
        <f>_xlfn.XLOOKUP(Tableau57123141618[[#This Row],[Article]],'Liste des fournisseurs'!$B$12:$B$307,'Liste des fournisseurs'!$C$12:$C$307,"")</f>
        <v>cl</v>
      </c>
      <c r="C25" s="20">
        <v>16</v>
      </c>
      <c r="D25" s="6">
        <f>_xlfn.XLOOKUP(Tableau57123141618[[#This Row],[Article]],'Liste des fournisseurs'!$B$12:$B$307,'Liste des fournisseurs'!$F$12:$F$307,"")</f>
        <v>2.86E-2</v>
      </c>
      <c r="E25" s="7">
        <f>IFERROR(Tableau57123141618[[#This Row],[Coût d''achat HT à l''unité]]*Tableau57123141618[[#This Row],[Unités nécessaires]],"")</f>
        <v>0.45760000000000001</v>
      </c>
    </row>
    <row r="26" spans="1:5" ht="17">
      <c r="A26" s="8" t="s">
        <v>263</v>
      </c>
      <c r="B26" s="5" t="str">
        <f>_xlfn.XLOOKUP(Tableau57123141618[[#This Row],[Article]],'Liste des fournisseurs'!$B$12:$B$307,'Liste des fournisseurs'!$C$12:$C$307,"")</f>
        <v>cl</v>
      </c>
      <c r="C26" s="20">
        <v>5</v>
      </c>
      <c r="D26" s="6">
        <f>_xlfn.XLOOKUP(Tableau57123141618[[#This Row],[Article]],'Liste des fournisseurs'!$B$12:$B$307,'Liste des fournisseurs'!$F$12:$F$307,"")</f>
        <v>6.5000000000000006E-3</v>
      </c>
      <c r="E26" s="7">
        <f>IFERROR(Tableau57123141618[[#This Row],[Coût d''achat HT à l''unité]]*Tableau57123141618[[#This Row],[Unités nécessaires]],"")</f>
        <v>3.2500000000000001E-2</v>
      </c>
    </row>
    <row r="27" spans="1:5" ht="16">
      <c r="A27" s="8"/>
      <c r="B27" s="5"/>
      <c r="C27" s="20"/>
      <c r="D27" s="6"/>
      <c r="E27" s="7"/>
    </row>
    <row r="28" spans="1:5" ht="17">
      <c r="A28" s="8" t="s">
        <v>241</v>
      </c>
      <c r="B28" s="5" t="str">
        <f>_xlfn.XLOOKUP(Tableau57123141618[[#This Row],[Article]],'Liste des fournisseurs'!$B$12:$B$307,'Liste des fournisseurs'!$C$12:$C$307,"")</f>
        <v>cl</v>
      </c>
      <c r="C28" s="20">
        <v>1</v>
      </c>
      <c r="D28" s="6">
        <f>_xlfn.XLOOKUP(Tableau57123141618[[#This Row],[Article]],'Liste des fournisseurs'!$B$12:$B$307,'Liste des fournisseurs'!$F$12:$F$307,"")</f>
        <v>0.17142857142857143</v>
      </c>
      <c r="E28" s="7">
        <f>IFERROR(Tableau57123141618[[#This Row],[Coût d''achat HT à l''unité]]*Tableau57123141618[[#This Row],[Unités nécessaires]],"")</f>
        <v>0.17142857142857143</v>
      </c>
    </row>
    <row r="29" spans="1:5" ht="17">
      <c r="A29" s="8" t="s">
        <v>438</v>
      </c>
      <c r="B29" s="5" t="str">
        <f>_xlfn.XLOOKUP(Tableau57123141618[[#This Row],[Article]],'Liste des fournisseurs'!$B$12:$B$307,'Liste des fournisseurs'!$C$12:$C$307,"")</f>
        <v>cl</v>
      </c>
      <c r="C29" s="20">
        <v>5</v>
      </c>
      <c r="D29" s="6">
        <f>_xlfn.XLOOKUP(Tableau57123141618[[#This Row],[Article]],'Liste des fournisseurs'!$B$12:$B$307,'Liste des fournisseurs'!$F$12:$F$307,"")</f>
        <v>0.16</v>
      </c>
      <c r="E29" s="7">
        <f>IFERROR(Tableau57123141618[[#This Row],[Coût d''achat HT à l''unité]]*Tableau57123141618[[#This Row],[Unités nécessaires]],"")</f>
        <v>0.8</v>
      </c>
    </row>
    <row r="30" spans="1:5" ht="17">
      <c r="A30" s="34" t="s">
        <v>7</v>
      </c>
      <c r="B30" s="35"/>
      <c r="C30" s="35"/>
      <c r="D30" s="35"/>
      <c r="E30" s="36">
        <f>SUM(Tableau57123141618[Prix de revient HT])</f>
        <v>1.4615285714285715</v>
      </c>
    </row>
    <row r="31" spans="1:5" ht="17">
      <c r="A31" s="37" t="s">
        <v>8</v>
      </c>
      <c r="B31" s="38"/>
      <c r="C31" s="38"/>
      <c r="D31" s="38"/>
      <c r="E31" s="39">
        <f>E30/B13</f>
        <v>1.4615285714285715</v>
      </c>
    </row>
    <row r="32" spans="1:5" ht="17">
      <c r="A32" s="37" t="s">
        <v>9</v>
      </c>
      <c r="B32" s="40">
        <v>0.2</v>
      </c>
      <c r="C32" s="38"/>
      <c r="D32" s="38"/>
      <c r="E32" s="39">
        <f>SUM(E25:E29)</f>
        <v>1.4615285714285715</v>
      </c>
    </row>
    <row r="33" spans="1:5" ht="17">
      <c r="A33" s="37" t="s">
        <v>10</v>
      </c>
      <c r="B33" s="38"/>
      <c r="C33" s="38"/>
      <c r="D33" s="38"/>
      <c r="E33" s="39">
        <f>E31+B32*E31</f>
        <v>1.7538342857142859</v>
      </c>
    </row>
    <row r="34" spans="1:5" ht="20">
      <c r="A34" s="221" t="s">
        <v>13</v>
      </c>
      <c r="B34" s="215"/>
      <c r="C34" s="215"/>
      <c r="D34" s="215"/>
      <c r="E34" s="222">
        <v>5</v>
      </c>
    </row>
    <row r="35" spans="1:5" ht="20">
      <c r="A35" s="51" t="s">
        <v>483</v>
      </c>
      <c r="B35" s="215"/>
      <c r="C35" s="215"/>
      <c r="D35" s="215"/>
      <c r="E35" s="204">
        <f>(E37-E33)/E37</f>
        <v>0.8</v>
      </c>
    </row>
    <row r="36" spans="1:5" ht="20">
      <c r="A36" s="205" t="s">
        <v>484</v>
      </c>
      <c r="B36" s="217"/>
      <c r="C36" s="217"/>
      <c r="D36" s="217"/>
      <c r="E36" s="218" t="s">
        <v>482</v>
      </c>
    </row>
    <row r="37" spans="1:5" ht="20">
      <c r="A37" s="15" t="s">
        <v>11</v>
      </c>
      <c r="B37" s="14"/>
      <c r="C37" s="14"/>
      <c r="D37" s="14"/>
      <c r="E37" s="16">
        <f>E33*E34</f>
        <v>8.7691714285714291</v>
      </c>
    </row>
    <row r="38" spans="1:5" ht="21" thickBot="1">
      <c r="A38" s="17" t="s">
        <v>12</v>
      </c>
      <c r="B38" s="18"/>
      <c r="C38" s="18"/>
      <c r="D38" s="18"/>
      <c r="E38" s="19">
        <f>E37-E33</f>
        <v>7.0153371428571436</v>
      </c>
    </row>
    <row r="39" spans="1:5" ht="15" thickBot="1"/>
    <row r="40" spans="1:5" ht="27" thickBot="1">
      <c r="A40" s="236" t="s">
        <v>301</v>
      </c>
      <c r="B40" s="237"/>
      <c r="C40" s="237"/>
      <c r="D40" s="237"/>
      <c r="E40" s="238"/>
    </row>
    <row r="41" spans="1:5" ht="16">
      <c r="A41" s="167" t="s">
        <v>378</v>
      </c>
      <c r="B41" s="168"/>
      <c r="C41" s="168"/>
      <c r="D41" s="168"/>
      <c r="E41" s="169"/>
    </row>
    <row r="42" spans="1:5" ht="16">
      <c r="A42" s="163" t="s">
        <v>367</v>
      </c>
      <c r="B42" s="5"/>
      <c r="C42" s="5"/>
      <c r="D42" s="5"/>
      <c r="E42" s="164"/>
    </row>
    <row r="43" spans="1:5" ht="16">
      <c r="A43" s="163" t="s">
        <v>375</v>
      </c>
      <c r="B43" s="5"/>
      <c r="C43" s="5"/>
      <c r="D43" s="5"/>
      <c r="E43" s="164"/>
    </row>
    <row r="44" spans="1:5" ht="16">
      <c r="A44" s="163" t="s">
        <v>376</v>
      </c>
      <c r="B44" s="5"/>
      <c r="C44" s="5"/>
      <c r="D44" s="5"/>
      <c r="E44" s="164"/>
    </row>
    <row r="45" spans="1:5" ht="17" thickBot="1">
      <c r="A45" s="170" t="s">
        <v>377</v>
      </c>
      <c r="B45" s="165"/>
      <c r="C45" s="165"/>
      <c r="D45" s="165"/>
      <c r="E45" s="166"/>
    </row>
    <row r="46" spans="1:5">
      <c r="A46" s="30"/>
    </row>
    <row r="47" spans="1:5">
      <c r="A47" s="30"/>
    </row>
    <row r="48" spans="1:5">
      <c r="A48" s="30"/>
    </row>
    <row r="49" spans="1:1">
      <c r="A49" s="30"/>
    </row>
    <row r="50" spans="1:1">
      <c r="A50" s="30"/>
    </row>
    <row r="51" spans="1:1">
      <c r="A51" s="30"/>
    </row>
    <row r="52" spans="1:1">
      <c r="A52" s="30"/>
    </row>
    <row r="53" spans="1:1">
      <c r="A53" s="30"/>
    </row>
  </sheetData>
  <mergeCells count="4">
    <mergeCell ref="A7:E7"/>
    <mergeCell ref="A9:E9"/>
    <mergeCell ref="A11:E11"/>
    <mergeCell ref="A40:E40"/>
  </mergeCells>
  <phoneticPr fontId="27" type="noConversion"/>
  <dataValidations count="1">
    <dataValidation type="list" allowBlank="1" showInputMessage="1" showErrorMessage="1" sqref="A9" xr:uid="{7409B7DC-51AF-D14C-850B-D985553E5B50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44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272B68-9A9C-6846-8A29-DF6F97F8D180}">
          <x14:formula1>
            <xm:f>'Liste des fournisseurs'!$B$12:$B$307</xm:f>
          </x14:formula1>
          <xm:sqref>A25:A29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46F1-C699-BF49-BA01-EF8E20E2A498}">
  <sheetPr>
    <pageSetUpPr fitToPage="1"/>
  </sheetPr>
  <dimension ref="A1:M57"/>
  <sheetViews>
    <sheetView topLeftCell="A24" zoomScale="125" zoomScaleNormal="100" zoomScalePageLayoutView="67" workbookViewId="0">
      <selection activeCell="G27" sqref="G27"/>
    </sheetView>
  </sheetViews>
  <sheetFormatPr baseColWidth="10" defaultRowHeight="14"/>
  <cols>
    <col min="1" max="1" width="67.33203125" style="9" customWidth="1"/>
    <col min="2" max="2" width="17.5" style="10" bestFit="1" customWidth="1"/>
    <col min="3" max="3" width="19.5" style="10" bestFit="1" customWidth="1"/>
    <col min="4" max="4" width="28.33203125" style="10" bestFit="1" customWidth="1"/>
    <col min="5" max="5" width="27.6640625" style="10" bestFit="1" customWidth="1"/>
    <col min="6" max="6" width="10.83203125" style="11"/>
    <col min="7" max="7" width="20.1640625" style="11" bestFit="1" customWidth="1"/>
    <col min="8" max="16384" width="10.83203125" style="11"/>
  </cols>
  <sheetData>
    <row r="1" spans="1:13">
      <c r="F1" s="30"/>
    </row>
    <row r="2" spans="1:13">
      <c r="F2" s="30"/>
    </row>
    <row r="3" spans="1:13">
      <c r="F3" s="30"/>
    </row>
    <row r="4" spans="1:13">
      <c r="F4" s="30"/>
    </row>
    <row r="5" spans="1:13">
      <c r="F5" s="30"/>
    </row>
    <row r="6" spans="1:13">
      <c r="F6" s="30"/>
    </row>
    <row r="7" spans="1:13" ht="15" thickBot="1">
      <c r="F7" s="30"/>
    </row>
    <row r="8" spans="1:13" ht="27" thickBot="1">
      <c r="A8" s="233" t="s">
        <v>0</v>
      </c>
      <c r="B8" s="234"/>
      <c r="C8" s="234"/>
      <c r="D8" s="234"/>
      <c r="E8" s="235"/>
      <c r="F8" s="31"/>
      <c r="G8" s="31"/>
      <c r="H8" s="31"/>
      <c r="I8" s="31"/>
      <c r="J8" s="31"/>
      <c r="K8" s="31"/>
      <c r="L8" s="31"/>
      <c r="M8" s="31"/>
    </row>
    <row r="9" spans="1:13" ht="15" thickBot="1">
      <c r="A9" s="12"/>
      <c r="F9" s="30"/>
      <c r="G9" s="30"/>
      <c r="H9" s="30"/>
      <c r="I9" s="30"/>
      <c r="J9" s="30"/>
      <c r="K9" s="30"/>
      <c r="L9" s="30"/>
      <c r="M9" s="30"/>
    </row>
    <row r="10" spans="1:13" ht="27" thickBot="1">
      <c r="A10" s="233" t="s">
        <v>274</v>
      </c>
      <c r="B10" s="234"/>
      <c r="C10" s="234"/>
      <c r="D10" s="234"/>
      <c r="E10" s="235"/>
      <c r="F10" s="31"/>
      <c r="G10" s="31"/>
      <c r="H10" s="31"/>
      <c r="I10" s="31"/>
      <c r="J10" s="31"/>
      <c r="K10" s="31"/>
      <c r="L10" s="31"/>
      <c r="M10" s="31"/>
    </row>
    <row r="11" spans="1:13" ht="15" thickBot="1">
      <c r="A11" s="13"/>
      <c r="F11" s="30"/>
      <c r="G11" s="32"/>
      <c r="H11" s="30"/>
      <c r="I11" s="30"/>
      <c r="J11" s="30"/>
      <c r="K11" s="30"/>
      <c r="L11" s="30"/>
      <c r="M11" s="30"/>
    </row>
    <row r="12" spans="1:13" ht="27" thickBot="1">
      <c r="A12" s="230" t="s">
        <v>277</v>
      </c>
      <c r="B12" s="231"/>
      <c r="C12" s="231"/>
      <c r="D12" s="231"/>
      <c r="E12" s="232"/>
      <c r="F12" s="33"/>
      <c r="G12" s="33"/>
      <c r="H12" s="33"/>
      <c r="I12" s="33"/>
      <c r="J12" s="33"/>
      <c r="K12" s="33"/>
      <c r="L12" s="33"/>
      <c r="M12" s="33"/>
    </row>
    <row r="13" spans="1:13" ht="26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4" spans="1:13" ht="26">
      <c r="A14" s="21" t="s">
        <v>292</v>
      </c>
      <c r="B14" s="22">
        <v>1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ht="26">
      <c r="A15" s="23"/>
      <c r="B15" s="24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13" ht="26">
      <c r="A16" s="21" t="s">
        <v>1</v>
      </c>
      <c r="B16" s="52">
        <f>(B17*E39)+E39</f>
        <v>14.998700571428568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</row>
    <row r="17" spans="1:6" ht="22">
      <c r="A17" s="21" t="s">
        <v>2</v>
      </c>
      <c r="B17" s="26">
        <v>0.16</v>
      </c>
      <c r="F17" s="30"/>
    </row>
    <row r="18" spans="1:6">
      <c r="A18" s="11"/>
      <c r="B18" s="11"/>
      <c r="F18" s="30"/>
    </row>
    <row r="19" spans="1:6" ht="21" thickBot="1">
      <c r="A19" s="73" t="s">
        <v>294</v>
      </c>
      <c r="B19" s="13"/>
      <c r="F19" s="30"/>
    </row>
    <row r="20" spans="1:6" ht="22" thickTop="1" thickBot="1">
      <c r="A20" s="74" t="s">
        <v>295</v>
      </c>
      <c r="B20" s="105"/>
      <c r="F20" s="30"/>
    </row>
    <row r="21" spans="1:6" ht="21" thickTop="1">
      <c r="A21" s="74" t="s">
        <v>296</v>
      </c>
      <c r="B21" s="13"/>
      <c r="F21" s="30"/>
    </row>
    <row r="22" spans="1:6" ht="20">
      <c r="A22" s="74" t="s">
        <v>297</v>
      </c>
      <c r="B22" s="11"/>
    </row>
    <row r="24" spans="1:6" ht="20" thickBot="1">
      <c r="A24" s="62" t="s">
        <v>298</v>
      </c>
      <c r="B24" s="62" t="s">
        <v>326</v>
      </c>
    </row>
    <row r="25" spans="1:6" ht="45" thickBot="1">
      <c r="A25" s="28" t="s">
        <v>3</v>
      </c>
      <c r="B25" s="29" t="s">
        <v>94</v>
      </c>
      <c r="C25" s="29" t="s">
        <v>5</v>
      </c>
      <c r="D25" s="29" t="s">
        <v>4</v>
      </c>
      <c r="E25" s="29" t="s">
        <v>6</v>
      </c>
    </row>
    <row r="26" spans="1:6" ht="17">
      <c r="A26" s="8" t="s">
        <v>242</v>
      </c>
      <c r="B26" s="5" t="str">
        <f>_xlfn.XLOOKUP(Tableau5712314161820[[#This Row],[Article]],'Liste des fournisseurs'!$B$12:$B$307,'Liste des fournisseurs'!$C$12:$C$307,"")</f>
        <v>cl</v>
      </c>
      <c r="C26" s="20">
        <v>12</v>
      </c>
      <c r="D26" s="6">
        <f>_xlfn.XLOOKUP(Tableau5712314161820[[#This Row],[Article]],'Liste des fournisseurs'!$B$12:$B$307,'Liste des fournisseurs'!$F$12:$F$307,"")</f>
        <v>2.86E-2</v>
      </c>
      <c r="E26" s="7">
        <f>IFERROR(Tableau5712314161820[[#This Row],[Coût d''achat HT à l''unité]]*Tableau5712314161820[[#This Row],[Unités nécessaires]],"")</f>
        <v>0.34320000000000001</v>
      </c>
    </row>
    <row r="27" spans="1:6" ht="17">
      <c r="A27" s="8" t="s">
        <v>263</v>
      </c>
      <c r="B27" s="5" t="str">
        <f>_xlfn.XLOOKUP(Tableau5712314161820[[#This Row],[Article]],'Liste des fournisseurs'!$B$12:$B$307,'Liste des fournisseurs'!$C$12:$C$307,"")</f>
        <v>cl</v>
      </c>
      <c r="C27" s="20">
        <v>5</v>
      </c>
      <c r="D27" s="6">
        <f>_xlfn.XLOOKUP(Tableau5712314161820[[#This Row],[Article]],'Liste des fournisseurs'!$B$12:$B$307,'Liste des fournisseurs'!$F$12:$F$307,"")</f>
        <v>6.5000000000000006E-3</v>
      </c>
      <c r="E27" s="7">
        <f>IFERROR(Tableau5712314161820[[#This Row],[Coût d''achat HT à l''unité]]*Tableau5712314161820[[#This Row],[Unités nécessaires]],"")</f>
        <v>3.2500000000000001E-2</v>
      </c>
    </row>
    <row r="28" spans="1:6" ht="17">
      <c r="A28" s="8" t="s">
        <v>117</v>
      </c>
      <c r="B28" s="5" t="str">
        <f>_xlfn.XLOOKUP(Tableau5712314161820[[#This Row],[Article]],'Liste des fournisseurs'!$B$12:$B$307,'Liste des fournisseurs'!$C$12:$C$307,"")</f>
        <v>cl</v>
      </c>
      <c r="C28" s="20">
        <v>3</v>
      </c>
      <c r="D28" s="6">
        <f>_xlfn.XLOOKUP(Tableau5712314161820[[#This Row],[Article]],'Liste des fournisseurs'!$B$12:$B$307,'Liste des fournisseurs'!$F$12:$F$307,"")</f>
        <v>0.155</v>
      </c>
      <c r="E28" s="7">
        <f>IFERROR(Tableau5712314161820[[#This Row],[Coût d''achat HT à l''unité]]*Tableau5712314161820[[#This Row],[Unités nécessaires]],"")</f>
        <v>0.46499999999999997</v>
      </c>
    </row>
    <row r="29" spans="1:6" ht="17">
      <c r="A29" s="8" t="s">
        <v>477</v>
      </c>
      <c r="B29" s="5" t="str">
        <f>_xlfn.XLOOKUP(Tableau5712314161820[[#This Row],[Article]],'Liste des fournisseurs'!$B$12:$B$307,'Liste des fournisseurs'!$C$12:$C$307,"")</f>
        <v>cl</v>
      </c>
      <c r="C29" s="20">
        <v>3</v>
      </c>
      <c r="D29" s="6">
        <f>_xlfn.XLOOKUP(Tableau5712314161820[[#This Row],[Article]],'Liste des fournisseurs'!$B$12:$B$307,'Liste des fournisseurs'!$F$12:$F$307,"")</f>
        <v>0.17142857142857143</v>
      </c>
      <c r="E29" s="7">
        <f>IFERROR(Tableau5712314161820[[#This Row],[Coût d''achat HT à l''unité]]*Tableau5712314161820[[#This Row],[Unités nécessaires]],"")</f>
        <v>0.51428571428571423</v>
      </c>
    </row>
    <row r="30" spans="1:6" ht="17">
      <c r="A30" s="8" t="s">
        <v>438</v>
      </c>
      <c r="B30" s="5" t="str">
        <f>_xlfn.XLOOKUP(Tableau5712314161820[[#This Row],[Article]],'Liste des fournisseurs'!$B$12:$B$307,'Liste des fournisseurs'!$C$12:$C$307,"")</f>
        <v>cl</v>
      </c>
      <c r="C30" s="20">
        <v>5</v>
      </c>
      <c r="D30" s="6">
        <f>_xlfn.XLOOKUP(Tableau5712314161820[[#This Row],[Article]],'Liste des fournisseurs'!$B$12:$B$307,'Liste des fournisseurs'!$F$12:$F$307,"")</f>
        <v>0.16</v>
      </c>
      <c r="E30" s="7">
        <f>IFERROR(Tableau5712314161820[[#This Row],[Coût d''achat HT à l''unité]]*Tableau5712314161820[[#This Row],[Unités nécessaires]],"")</f>
        <v>0.8</v>
      </c>
    </row>
    <row r="31" spans="1:6" ht="16">
      <c r="A31" s="8"/>
      <c r="B31" s="5" t="str">
        <f>_xlfn.XLOOKUP(Tableau5712314161820[[#This Row],[Article]],'Liste des fournisseurs'!$B$12:$B$307,'Liste des fournisseurs'!$C$12:$C$307,"")</f>
        <v/>
      </c>
      <c r="C31" s="20"/>
      <c r="D31" s="6" t="str">
        <f>_xlfn.XLOOKUP(Tableau5712314161820[[#This Row],[Article]],'Liste des fournisseurs'!$B$12:$B$307,'Liste des fournisseurs'!$F$12:$F$307,"")</f>
        <v/>
      </c>
      <c r="E31" s="7" t="str">
        <f>IFERROR(Tableau5712314161820[[#This Row],[Coût d''achat HT à l''unité]]*Tableau5712314161820[[#This Row],[Unités nécessaires]],"")</f>
        <v/>
      </c>
    </row>
    <row r="32" spans="1:6" ht="17">
      <c r="A32" s="34" t="s">
        <v>7</v>
      </c>
      <c r="B32" s="35"/>
      <c r="C32" s="35"/>
      <c r="D32" s="35"/>
      <c r="E32" s="42">
        <f>SUM(Tableau5712314161820[Prix de revient HT])</f>
        <v>2.1549857142857141</v>
      </c>
    </row>
    <row r="33" spans="1:5" ht="17">
      <c r="A33" s="37" t="s">
        <v>8</v>
      </c>
      <c r="B33" s="38"/>
      <c r="C33" s="38"/>
      <c r="D33" s="38"/>
      <c r="E33" s="43">
        <f>E32/B14</f>
        <v>2.1549857142857141</v>
      </c>
    </row>
    <row r="34" spans="1:5" ht="17">
      <c r="A34" s="37" t="s">
        <v>9</v>
      </c>
      <c r="B34" s="40">
        <v>0.2</v>
      </c>
      <c r="C34" s="38"/>
      <c r="D34" s="38"/>
      <c r="E34" s="43">
        <f>SUM(E26:E31)</f>
        <v>2.1549857142857141</v>
      </c>
    </row>
    <row r="35" spans="1:5" ht="17">
      <c r="A35" s="37" t="s">
        <v>10</v>
      </c>
      <c r="B35" s="38"/>
      <c r="C35" s="38"/>
      <c r="D35" s="38"/>
      <c r="E35" s="43">
        <f>E33+B34*E33</f>
        <v>2.5859828571428567</v>
      </c>
    </row>
    <row r="36" spans="1:5" ht="19">
      <c r="A36" s="223" t="s">
        <v>13</v>
      </c>
      <c r="B36" s="46"/>
      <c r="C36" s="46"/>
      <c r="D36" s="46"/>
      <c r="E36" s="224">
        <v>5</v>
      </c>
    </row>
    <row r="37" spans="1:5" ht="20">
      <c r="A37" s="51" t="s">
        <v>483</v>
      </c>
      <c r="B37" s="213"/>
      <c r="C37" s="213"/>
      <c r="D37" s="213"/>
      <c r="E37" s="204">
        <f>(E39-E35)/E39</f>
        <v>0.8</v>
      </c>
    </row>
    <row r="38" spans="1:5" ht="20">
      <c r="A38" s="205" t="s">
        <v>484</v>
      </c>
      <c r="B38" s="207"/>
      <c r="C38" s="207"/>
      <c r="D38" s="207"/>
      <c r="E38" s="218" t="s">
        <v>482</v>
      </c>
    </row>
    <row r="39" spans="1:5" ht="19">
      <c r="A39" s="37" t="s">
        <v>11</v>
      </c>
      <c r="B39" s="14"/>
      <c r="C39" s="14"/>
      <c r="D39" s="14"/>
      <c r="E39" s="44">
        <f>E35*E36</f>
        <v>12.929914285714283</v>
      </c>
    </row>
    <row r="40" spans="1:5" ht="20" thickBot="1">
      <c r="A40" s="41" t="s">
        <v>12</v>
      </c>
      <c r="B40" s="18"/>
      <c r="C40" s="18"/>
      <c r="D40" s="18"/>
      <c r="E40" s="45">
        <f>E39-E35</f>
        <v>10.343931428571427</v>
      </c>
    </row>
    <row r="41" spans="1:5" ht="15" thickBot="1"/>
    <row r="42" spans="1:5" ht="26">
      <c r="A42" s="236" t="s">
        <v>301</v>
      </c>
      <c r="B42" s="237"/>
      <c r="C42" s="237"/>
      <c r="D42" s="237"/>
      <c r="E42" s="238"/>
    </row>
    <row r="43" spans="1:5" ht="16">
      <c r="A43" s="131" t="s">
        <v>345</v>
      </c>
      <c r="B43" s="152"/>
      <c r="C43" s="152"/>
      <c r="D43" s="152"/>
      <c r="E43" s="153"/>
    </row>
    <row r="44" spans="1:5" ht="16">
      <c r="A44" s="131" t="s">
        <v>366</v>
      </c>
      <c r="B44" s="152"/>
      <c r="C44" s="152"/>
      <c r="D44" s="152"/>
      <c r="E44" s="153"/>
    </row>
    <row r="45" spans="1:5" ht="16">
      <c r="A45" s="131" t="s">
        <v>346</v>
      </c>
      <c r="B45" s="154"/>
      <c r="C45" s="154"/>
      <c r="D45" s="152"/>
      <c r="E45" s="153"/>
    </row>
    <row r="46" spans="1:5" ht="16">
      <c r="A46" s="131" t="s">
        <v>347</v>
      </c>
      <c r="B46" s="152"/>
      <c r="C46" s="152"/>
      <c r="D46" s="152"/>
      <c r="E46" s="153"/>
    </row>
    <row r="47" spans="1:5" ht="16">
      <c r="A47" s="131" t="s">
        <v>348</v>
      </c>
      <c r="B47" s="154"/>
      <c r="C47" s="152"/>
      <c r="D47" s="152"/>
      <c r="E47" s="153"/>
    </row>
    <row r="48" spans="1:5" ht="17" thickBot="1">
      <c r="A48" s="135" t="s">
        <v>349</v>
      </c>
      <c r="B48" s="136"/>
      <c r="C48" s="136"/>
      <c r="D48" s="136"/>
      <c r="E48" s="137"/>
    </row>
    <row r="49" spans="1:5">
      <c r="A49" s="30"/>
      <c r="B49" s="54"/>
      <c r="C49" s="54"/>
      <c r="D49" s="54"/>
      <c r="E49" s="54"/>
    </row>
    <row r="50" spans="1:5">
      <c r="A50" s="30"/>
      <c r="B50" s="54"/>
      <c r="C50" s="54"/>
      <c r="D50" s="54"/>
      <c r="E50" s="54"/>
    </row>
    <row r="51" spans="1:5">
      <c r="A51" s="30"/>
      <c r="B51" s="54"/>
      <c r="C51" s="54"/>
      <c r="D51" s="54"/>
      <c r="E51" s="54"/>
    </row>
    <row r="52" spans="1:5">
      <c r="A52" s="30"/>
    </row>
    <row r="53" spans="1:5">
      <c r="A53" s="30"/>
    </row>
    <row r="54" spans="1:5">
      <c r="A54" s="30"/>
    </row>
    <row r="55" spans="1:5">
      <c r="A55" s="30"/>
    </row>
    <row r="56" spans="1:5">
      <c r="A56" s="30"/>
    </row>
    <row r="57" spans="1:5">
      <c r="A57" s="30"/>
    </row>
  </sheetData>
  <mergeCells count="4">
    <mergeCell ref="A8:E8"/>
    <mergeCell ref="A10:E10"/>
    <mergeCell ref="A12:E12"/>
    <mergeCell ref="A42:E42"/>
  </mergeCells>
  <dataValidations count="1">
    <dataValidation type="list" allowBlank="1" showInputMessage="1" showErrorMessage="1" sqref="A10" xr:uid="{A1E81ECA-D408-7D40-B8D0-987319544A4F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60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0DCCD5-34C8-9B4C-BA3A-60990CEF5950}">
          <x14:formula1>
            <xm:f>'Liste des fournisseurs'!$B$12:$B$307</xm:f>
          </x14:formula1>
          <xm:sqref>A26:A31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A745-AB8A-574E-94F9-E254AF7FFB53}">
  <sheetPr>
    <pageSetUpPr fitToPage="1"/>
  </sheetPr>
  <dimension ref="A8:L58"/>
  <sheetViews>
    <sheetView topLeftCell="A19" zoomScale="115" zoomScaleNormal="100" zoomScalePageLayoutView="69" workbookViewId="0">
      <selection activeCell="A38" sqref="A38:A39"/>
    </sheetView>
  </sheetViews>
  <sheetFormatPr baseColWidth="10" defaultRowHeight="14"/>
  <cols>
    <col min="1" max="1" width="50.33203125" style="9" customWidth="1"/>
    <col min="2" max="2" width="8.83203125" style="10" customWidth="1"/>
    <col min="3" max="3" width="15.83203125" style="10" customWidth="1"/>
    <col min="4" max="4" width="21.6640625" style="10" bestFit="1" customWidth="1"/>
    <col min="5" max="5" width="18.6640625" style="54" bestFit="1" customWidth="1"/>
    <col min="6" max="6" width="20.1640625" style="11" bestFit="1" customWidth="1"/>
    <col min="7" max="16384" width="10.83203125" style="11"/>
  </cols>
  <sheetData>
    <row r="8" spans="1:12" ht="15" thickBot="1"/>
    <row r="9" spans="1:12" ht="27" thickBot="1">
      <c r="A9" s="233" t="s">
        <v>0</v>
      </c>
      <c r="B9" s="234"/>
      <c r="C9" s="234"/>
      <c r="D9" s="234"/>
      <c r="E9" s="235"/>
      <c r="F9" s="31"/>
      <c r="G9" s="31"/>
      <c r="H9" s="31"/>
      <c r="I9" s="31"/>
      <c r="J9" s="31"/>
      <c r="K9" s="31"/>
      <c r="L9" s="31"/>
    </row>
    <row r="10" spans="1:12" ht="15" thickBot="1">
      <c r="A10" s="12"/>
      <c r="F10" s="30"/>
      <c r="G10" s="30"/>
      <c r="H10" s="30"/>
      <c r="I10" s="30"/>
      <c r="J10" s="30"/>
      <c r="K10" s="30"/>
      <c r="L10" s="30"/>
    </row>
    <row r="11" spans="1:12" ht="27" thickBot="1">
      <c r="A11" s="233" t="s">
        <v>273</v>
      </c>
      <c r="B11" s="234"/>
      <c r="C11" s="234"/>
      <c r="D11" s="234"/>
      <c r="E11" s="235"/>
      <c r="F11" s="31"/>
      <c r="G11" s="31"/>
      <c r="H11" s="31"/>
      <c r="I11" s="31"/>
      <c r="J11" s="31"/>
      <c r="K11" s="31"/>
      <c r="L11" s="31"/>
    </row>
    <row r="12" spans="1:12" ht="15" thickBot="1">
      <c r="A12" s="13"/>
      <c r="F12" s="30"/>
      <c r="G12" s="30"/>
      <c r="H12" s="30"/>
      <c r="I12" s="30"/>
      <c r="J12" s="30"/>
      <c r="K12" s="30"/>
      <c r="L12" s="30"/>
    </row>
    <row r="13" spans="1:12" ht="27" thickBot="1">
      <c r="A13" s="230" t="s">
        <v>275</v>
      </c>
      <c r="B13" s="231"/>
      <c r="C13" s="231"/>
      <c r="D13" s="231"/>
      <c r="E13" s="232"/>
      <c r="F13" s="33"/>
      <c r="G13" s="33"/>
      <c r="H13" s="33"/>
      <c r="I13" s="33"/>
      <c r="J13" s="33"/>
      <c r="K13" s="33"/>
      <c r="L13" s="33"/>
    </row>
    <row r="14" spans="1:12">
      <c r="A14" s="12"/>
    </row>
    <row r="15" spans="1:12" ht="22">
      <c r="A15" s="60" t="s">
        <v>292</v>
      </c>
      <c r="B15" s="22">
        <v>1</v>
      </c>
    </row>
    <row r="16" spans="1:12" ht="21">
      <c r="A16" s="23"/>
      <c r="B16" s="24"/>
    </row>
    <row r="17" spans="1:5" ht="22">
      <c r="A17" s="21" t="s">
        <v>1</v>
      </c>
      <c r="B17" s="52">
        <f>(B18*E40)+E40</f>
        <v>8.079168000000001</v>
      </c>
    </row>
    <row r="18" spans="1:5" ht="22">
      <c r="A18" s="21" t="s">
        <v>2</v>
      </c>
      <c r="B18" s="26">
        <v>0.16</v>
      </c>
    </row>
    <row r="19" spans="1:5" ht="21">
      <c r="D19" s="53"/>
    </row>
    <row r="20" spans="1:5" ht="21" thickBot="1">
      <c r="A20" s="73" t="s">
        <v>294</v>
      </c>
      <c r="B20" s="13"/>
    </row>
    <row r="21" spans="1:5" ht="22" thickTop="1" thickBot="1">
      <c r="A21" s="74" t="s">
        <v>295</v>
      </c>
      <c r="B21" s="105"/>
    </row>
    <row r="22" spans="1:5" ht="21" thickTop="1">
      <c r="A22" s="74" t="s">
        <v>296</v>
      </c>
      <c r="B22" s="13"/>
    </row>
    <row r="23" spans="1:5" ht="20">
      <c r="A23" s="74" t="s">
        <v>297</v>
      </c>
    </row>
    <row r="24" spans="1:5" ht="21">
      <c r="A24" s="27"/>
      <c r="B24" s="24"/>
    </row>
    <row r="25" spans="1:5" ht="19">
      <c r="A25" s="62" t="s">
        <v>298</v>
      </c>
      <c r="B25" s="62" t="s">
        <v>344</v>
      </c>
    </row>
    <row r="26" spans="1:5" ht="15" thickBot="1">
      <c r="A26" s="12"/>
    </row>
    <row r="27" spans="1:5" ht="45" thickBot="1">
      <c r="A27" s="28" t="s">
        <v>3</v>
      </c>
      <c r="B27" s="29" t="s">
        <v>94</v>
      </c>
      <c r="C27" s="29" t="s">
        <v>5</v>
      </c>
      <c r="D27" s="29" t="s">
        <v>4</v>
      </c>
      <c r="E27" s="55" t="s">
        <v>6</v>
      </c>
    </row>
    <row r="28" spans="1:5" ht="17">
      <c r="A28" s="8" t="s">
        <v>242</v>
      </c>
      <c r="B28" s="5" t="str">
        <f>_xlfn.XLOOKUP(Tableau571231416182022[[#This Row],[Article]],'Liste des fournisseurs'!$B$12:$B$307,'Liste des fournisseurs'!$C$12:$C$307,"")</f>
        <v>cl</v>
      </c>
      <c r="C28" s="124">
        <v>12</v>
      </c>
      <c r="D28" s="6">
        <f>_xlfn.XLOOKUP(Tableau571231416182022[[#This Row],[Article]],'Liste des fournisseurs'!$B$12:$B$307,'Liste des fournisseurs'!$F$12:$F$307,"")</f>
        <v>2.86E-2</v>
      </c>
      <c r="E28" s="7">
        <f>IFERROR(Tableau571231416182022[[#This Row],[Coût d''achat HT à l''unité]]*Tableau571231416182022[[#This Row],[Unités nécessaires]],"")</f>
        <v>0.34320000000000001</v>
      </c>
    </row>
    <row r="29" spans="1:5" ht="17">
      <c r="A29" s="8" t="s">
        <v>246</v>
      </c>
      <c r="B29" s="5" t="str">
        <f>_xlfn.XLOOKUP(Tableau571231416182022[[#This Row],[Article]],'Liste des fournisseurs'!$B$12:$B$307,'Liste des fournisseurs'!$C$12:$C$307,"")</f>
        <v>cl</v>
      </c>
      <c r="C29" s="124">
        <v>2</v>
      </c>
      <c r="D29" s="6">
        <f>_xlfn.XLOOKUP(Tableau571231416182022[[#This Row],[Article]],'Liste des fournisseurs'!$B$12:$B$307,'Liste des fournisseurs'!$F$12:$F$307,"")</f>
        <v>2.86E-2</v>
      </c>
      <c r="E29" s="7">
        <f>IFERROR(Tableau571231416182022[[#This Row],[Coût d''achat HT à l''unité]]*Tableau571231416182022[[#This Row],[Unités nécessaires]],"")</f>
        <v>5.7200000000000001E-2</v>
      </c>
    </row>
    <row r="30" spans="1:5" ht="17">
      <c r="A30" s="8" t="s">
        <v>276</v>
      </c>
      <c r="B30" s="5" t="str">
        <f>_xlfn.XLOOKUP(Tableau571231416182022[[#This Row],[Article]],'Liste des fournisseurs'!$B$12:$B$307,'Liste des fournisseurs'!$C$12:$C$307,"")</f>
        <v>cl</v>
      </c>
      <c r="C30" s="124">
        <v>2</v>
      </c>
      <c r="D30" s="6">
        <f>_xlfn.XLOOKUP(Tableau571231416182022[[#This Row],[Article]],'Liste des fournisseurs'!$B$12:$B$307,'Liste des fournisseurs'!$F$12:$F$307,"")</f>
        <v>0.02</v>
      </c>
      <c r="E30" s="7">
        <f>IFERROR(Tableau571231416182022[[#This Row],[Coût d''achat HT à l''unité]]*Tableau571231416182022[[#This Row],[Unités nécessaires]],"")</f>
        <v>0.04</v>
      </c>
    </row>
    <row r="31" spans="1:5" ht="17">
      <c r="A31" s="8" t="s">
        <v>424</v>
      </c>
      <c r="B31" s="5" t="str">
        <f>_xlfn.XLOOKUP(Tableau571231416182022[[#This Row],[Article]],'Liste des fournisseurs'!$B$12:$B$307,'Liste des fournisseurs'!$C$12:$C$307,"")</f>
        <v>cl</v>
      </c>
      <c r="C31" s="124">
        <v>1</v>
      </c>
      <c r="D31" s="6">
        <f>_xlfn.XLOOKUP(Tableau571231416182022[[#This Row],[Article]],'Liste des fournisseurs'!$B$12:$B$307,'Liste des fournisseurs'!$F$12:$F$307,"")</f>
        <v>0.14000000000000001</v>
      </c>
      <c r="E31" s="7">
        <f>IFERROR(Tableau571231416182022[[#This Row],[Coût d''achat HT à l''unité]]*Tableau571231416182022[[#This Row],[Unités nécessaires]],"")</f>
        <v>0.14000000000000001</v>
      </c>
    </row>
    <row r="32" spans="1:5" ht="16">
      <c r="A32" s="8"/>
      <c r="B32" s="5"/>
      <c r="C32" s="124"/>
      <c r="D32" s="6" t="str">
        <f>_xlfn.XLOOKUP(Tableau571231416182022[[#This Row],[Article]],'Liste des fournisseurs'!$B$12:$B$307,'Liste des fournisseurs'!$F$12:$F$307,"")</f>
        <v/>
      </c>
      <c r="E32" s="7" t="str">
        <f>IFERROR(Tableau571231416182022[[#This Row],[Coût d''achat HT à l''unité]]*Tableau571231416182022[[#This Row],[Unités nécessaires]],"")</f>
        <v/>
      </c>
    </row>
    <row r="33" spans="1:5" ht="17">
      <c r="A33" s="112" t="s">
        <v>7</v>
      </c>
      <c r="B33" s="38"/>
      <c r="C33" s="38"/>
      <c r="D33" s="38"/>
      <c r="E33" s="113">
        <f>SUM(Tableau571231416182022[Prix de revient HT])</f>
        <v>0.58040000000000003</v>
      </c>
    </row>
    <row r="34" spans="1:5" ht="17">
      <c r="A34" s="112" t="s">
        <v>8</v>
      </c>
      <c r="B34" s="38"/>
      <c r="C34" s="38"/>
      <c r="D34" s="38"/>
      <c r="E34" s="113">
        <f>E33/B15</f>
        <v>0.58040000000000003</v>
      </c>
    </row>
    <row r="35" spans="1:5" ht="17">
      <c r="A35" s="112" t="s">
        <v>9</v>
      </c>
      <c r="B35" s="40">
        <v>0.2</v>
      </c>
      <c r="C35" s="38"/>
      <c r="D35" s="38"/>
      <c r="E35" s="113">
        <f>SUM(E28:E32)</f>
        <v>0.58040000000000003</v>
      </c>
    </row>
    <row r="36" spans="1:5" ht="17">
      <c r="A36" s="112" t="s">
        <v>10</v>
      </c>
      <c r="B36" s="38"/>
      <c r="C36" s="38"/>
      <c r="D36" s="38"/>
      <c r="E36" s="113">
        <f>E34+B35*E34</f>
        <v>0.69647999999999999</v>
      </c>
    </row>
    <row r="37" spans="1:5" ht="20">
      <c r="A37" s="114" t="s">
        <v>13</v>
      </c>
      <c r="B37" s="48"/>
      <c r="C37" s="48"/>
      <c r="D37" s="48"/>
      <c r="E37" s="115">
        <v>10</v>
      </c>
    </row>
    <row r="38" spans="1:5" ht="20">
      <c r="A38" s="51" t="s">
        <v>483</v>
      </c>
      <c r="B38" s="49"/>
      <c r="C38" s="49"/>
      <c r="D38" s="49"/>
      <c r="E38" s="116">
        <f>(E40-E36)/E40</f>
        <v>0.9</v>
      </c>
    </row>
    <row r="39" spans="1:5" ht="20">
      <c r="A39" s="205" t="s">
        <v>484</v>
      </c>
      <c r="B39" s="206"/>
      <c r="C39" s="206"/>
      <c r="D39" s="206"/>
      <c r="E39" s="207" t="s">
        <v>482</v>
      </c>
    </row>
    <row r="40" spans="1:5" ht="19">
      <c r="A40" s="112" t="s">
        <v>11</v>
      </c>
      <c r="B40" s="14"/>
      <c r="C40" s="14"/>
      <c r="D40" s="14"/>
      <c r="E40" s="117">
        <f>E36*E37</f>
        <v>6.9648000000000003</v>
      </c>
    </row>
    <row r="41" spans="1:5" ht="19">
      <c r="A41" s="112" t="s">
        <v>12</v>
      </c>
      <c r="B41" s="14"/>
      <c r="C41" s="14"/>
      <c r="D41" s="14"/>
      <c r="E41" s="117">
        <f>E40-E36</f>
        <v>6.2683200000000001</v>
      </c>
    </row>
    <row r="42" spans="1:5" ht="15" thickBot="1"/>
    <row r="43" spans="1:5" ht="26">
      <c r="A43" s="236" t="s">
        <v>301</v>
      </c>
      <c r="B43" s="237"/>
      <c r="C43" s="237"/>
      <c r="D43" s="237"/>
      <c r="E43" s="238"/>
    </row>
    <row r="44" spans="1:5" s="61" customFormat="1" ht="16">
      <c r="A44" s="162" t="s">
        <v>374</v>
      </c>
      <c r="B44" s="152"/>
      <c r="C44" s="152"/>
      <c r="D44" s="152"/>
      <c r="E44" s="153"/>
    </row>
    <row r="45" spans="1:5" ht="17" thickBot="1">
      <c r="A45" s="135" t="s">
        <v>379</v>
      </c>
      <c r="B45" s="136"/>
      <c r="C45" s="136"/>
      <c r="D45" s="136"/>
      <c r="E45" s="137"/>
    </row>
    <row r="46" spans="1:5" ht="16">
      <c r="A46" s="154"/>
      <c r="B46" s="154"/>
      <c r="C46" s="154"/>
      <c r="D46" s="152"/>
      <c r="E46" s="152"/>
    </row>
    <row r="47" spans="1:5" ht="16">
      <c r="A47" s="154"/>
      <c r="B47" s="152"/>
      <c r="C47" s="152"/>
      <c r="D47" s="152"/>
      <c r="E47" s="152"/>
    </row>
    <row r="48" spans="1:5" ht="16">
      <c r="A48" s="154"/>
      <c r="B48" s="154"/>
      <c r="C48" s="152"/>
      <c r="D48" s="152"/>
      <c r="E48" s="152"/>
    </row>
    <row r="49" spans="1:5" ht="16">
      <c r="A49" s="154"/>
      <c r="B49" s="152"/>
      <c r="C49" s="152"/>
      <c r="D49" s="152"/>
      <c r="E49" s="152"/>
    </row>
    <row r="50" spans="1:5">
      <c r="A50" s="30"/>
    </row>
    <row r="51" spans="1:5">
      <c r="A51" s="30"/>
    </row>
    <row r="52" spans="1:5">
      <c r="A52" s="30"/>
    </row>
    <row r="53" spans="1:5">
      <c r="A53" s="30"/>
    </row>
    <row r="54" spans="1:5">
      <c r="A54" s="30"/>
    </row>
    <row r="55" spans="1:5">
      <c r="A55" s="30"/>
    </row>
    <row r="56" spans="1:5">
      <c r="A56" s="30"/>
    </row>
    <row r="57" spans="1:5">
      <c r="A57" s="30"/>
    </row>
    <row r="58" spans="1:5">
      <c r="A58" s="30"/>
    </row>
  </sheetData>
  <mergeCells count="4">
    <mergeCell ref="A13:E13"/>
    <mergeCell ref="A11:E11"/>
    <mergeCell ref="A9:E9"/>
    <mergeCell ref="A43:E43"/>
  </mergeCells>
  <dataValidations count="1">
    <dataValidation type="list" allowBlank="1" showInputMessage="1" showErrorMessage="1" sqref="A11" xr:uid="{BCE573B3-D937-034B-8B96-9655D801C49D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71" orientation="portrait" horizontalDpi="0" verticalDpi="0"/>
  <colBreaks count="1" manualBreakCount="1">
    <brk id="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65B0E2-539B-1F4A-ABBD-9D4F60FFAD5D}">
          <x14:formula1>
            <xm:f>'Liste des fournisseurs'!$B$12:$B$307</xm:f>
          </x14:formula1>
          <xm:sqref>A28:A32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05DE-1230-784E-98FA-4A9DDAF81A02}">
  <sheetPr>
    <pageSetUpPr fitToPage="1"/>
  </sheetPr>
  <dimension ref="A8:L66"/>
  <sheetViews>
    <sheetView topLeftCell="A18" zoomScale="150" zoomScaleNormal="100" zoomScalePageLayoutView="58" workbookViewId="0">
      <selection activeCell="E38" sqref="E38"/>
    </sheetView>
  </sheetViews>
  <sheetFormatPr baseColWidth="10" defaultRowHeight="14"/>
  <cols>
    <col min="1" max="1" width="51.6640625" style="9" customWidth="1"/>
    <col min="2" max="2" width="13.5" style="9" bestFit="1" customWidth="1"/>
    <col min="3" max="3" width="18.83203125" style="9" customWidth="1"/>
    <col min="4" max="4" width="20.5" style="9" customWidth="1"/>
    <col min="5" max="5" width="14.6640625" style="106" customWidth="1"/>
    <col min="6" max="6" width="20.1640625" style="13" bestFit="1" customWidth="1"/>
    <col min="7" max="16384" width="10.83203125" style="13"/>
  </cols>
  <sheetData>
    <row r="8" spans="1:12" ht="15" thickBot="1"/>
    <row r="9" spans="1:12" ht="27" thickBot="1">
      <c r="A9" s="242" t="s">
        <v>0</v>
      </c>
      <c r="B9" s="243"/>
      <c r="C9" s="243"/>
      <c r="D9" s="243"/>
      <c r="E9" s="244"/>
      <c r="F9" s="65"/>
      <c r="G9" s="65"/>
      <c r="H9" s="65"/>
      <c r="I9" s="65"/>
      <c r="J9" s="65"/>
      <c r="K9" s="65"/>
      <c r="L9" s="65"/>
    </row>
    <row r="10" spans="1:12" ht="15" thickBot="1">
      <c r="A10" s="12"/>
      <c r="F10" s="66"/>
      <c r="G10" s="66"/>
      <c r="H10" s="66"/>
      <c r="I10" s="66"/>
      <c r="J10" s="66"/>
      <c r="K10" s="66"/>
      <c r="L10" s="66"/>
    </row>
    <row r="11" spans="1:12" ht="27" thickBot="1">
      <c r="A11" s="242" t="s">
        <v>273</v>
      </c>
      <c r="B11" s="243"/>
      <c r="C11" s="243"/>
      <c r="D11" s="243"/>
      <c r="E11" s="244"/>
      <c r="F11" s="65"/>
      <c r="G11" s="65"/>
      <c r="H11" s="65"/>
      <c r="I11" s="65"/>
      <c r="J11" s="65"/>
      <c r="K11" s="65"/>
      <c r="L11" s="65"/>
    </row>
    <row r="12" spans="1:12" ht="15" thickBot="1">
      <c r="A12" s="13"/>
      <c r="F12" s="67"/>
      <c r="G12" s="66"/>
      <c r="H12" s="66"/>
      <c r="I12" s="66"/>
      <c r="J12" s="66"/>
      <c r="K12" s="66"/>
      <c r="L12" s="66"/>
    </row>
    <row r="13" spans="1:12" ht="27" thickBot="1">
      <c r="A13" s="239" t="s">
        <v>278</v>
      </c>
      <c r="B13" s="240"/>
      <c r="C13" s="240"/>
      <c r="D13" s="240"/>
      <c r="E13" s="241"/>
      <c r="F13" s="68"/>
      <c r="G13" s="68"/>
      <c r="H13" s="68"/>
      <c r="I13" s="68"/>
      <c r="J13" s="68"/>
      <c r="K13" s="68"/>
      <c r="L13" s="68"/>
    </row>
    <row r="14" spans="1:12">
      <c r="A14" s="12"/>
    </row>
    <row r="15" spans="1:12" ht="22">
      <c r="A15" s="60" t="s">
        <v>292</v>
      </c>
      <c r="B15" s="69">
        <v>1</v>
      </c>
    </row>
    <row r="16" spans="1:12" ht="21">
      <c r="A16" s="23"/>
      <c r="B16" s="70"/>
    </row>
    <row r="17" spans="1:5" ht="22">
      <c r="A17" s="21" t="s">
        <v>1</v>
      </c>
      <c r="B17" s="52">
        <f>(B18*E40)+E40</f>
        <v>10.148047008573506</v>
      </c>
    </row>
    <row r="18" spans="1:5" ht="22">
      <c r="A18" s="21" t="s">
        <v>2</v>
      </c>
      <c r="B18" s="71">
        <v>0.16</v>
      </c>
      <c r="D18" s="72"/>
    </row>
    <row r="20" spans="1:5" ht="20">
      <c r="A20" s="73" t="s">
        <v>294</v>
      </c>
      <c r="B20" s="13"/>
    </row>
    <row r="21" spans="1:5" ht="20">
      <c r="A21" s="74" t="s">
        <v>295</v>
      </c>
      <c r="B21" s="13"/>
    </row>
    <row r="22" spans="1:5" ht="21" thickBot="1">
      <c r="A22" s="74" t="s">
        <v>296</v>
      </c>
      <c r="B22" s="13"/>
    </row>
    <row r="23" spans="1:5" ht="22" thickTop="1" thickBot="1">
      <c r="A23" s="74" t="s">
        <v>297</v>
      </c>
      <c r="B23" s="105"/>
    </row>
    <row r="24" spans="1:5" ht="15" thickTop="1">
      <c r="B24" s="10"/>
    </row>
    <row r="25" spans="1:5" ht="19">
      <c r="A25" s="62" t="s">
        <v>298</v>
      </c>
      <c r="B25" s="62" t="s">
        <v>344</v>
      </c>
    </row>
    <row r="26" spans="1:5" ht="20" thickBot="1">
      <c r="A26" s="62"/>
      <c r="B26" s="62"/>
    </row>
    <row r="27" spans="1:5" ht="40" customHeight="1" thickBot="1">
      <c r="A27" s="28" t="s">
        <v>3</v>
      </c>
      <c r="B27" s="29" t="s">
        <v>94</v>
      </c>
      <c r="C27" s="29" t="s">
        <v>5</v>
      </c>
      <c r="D27" s="29" t="s">
        <v>4</v>
      </c>
      <c r="E27" s="55" t="s">
        <v>6</v>
      </c>
    </row>
    <row r="28" spans="1:5" ht="17">
      <c r="A28" s="8" t="s">
        <v>218</v>
      </c>
      <c r="B28" s="75" t="str">
        <f>_xlfn.XLOOKUP(Tableau57123141618202224[[#This Row],[Article]],'Liste des fournisseurs'!$B$12:$B$307,'Liste des fournisseurs'!$C$12:$C$307,"")</f>
        <v>cl</v>
      </c>
      <c r="C28" s="76">
        <v>15</v>
      </c>
      <c r="D28" s="77">
        <f>_xlfn.XLOOKUP(Tableau57123141618202224[[#This Row],[Article]],'Liste des fournisseurs'!$B$12:$B$307,'Liste des fournisseurs'!$F$12:$F$307,"")</f>
        <v>1.5151515151515152E-2</v>
      </c>
      <c r="E28" s="78">
        <f>IFERROR(Tableau57123141618202224[[#This Row],[Coût d''achat HT à l''unité]]*Tableau57123141618202224[[#This Row],[Unités nécessaires]],"")</f>
        <v>0.22727272727272729</v>
      </c>
    </row>
    <row r="29" spans="1:5" ht="17">
      <c r="A29" s="8" t="s">
        <v>179</v>
      </c>
      <c r="B29" s="75" t="str">
        <f>_xlfn.XLOOKUP(Tableau57123141618202224[[#This Row],[Article]],'Liste des fournisseurs'!$B$12:$B$307,'Liste des fournisseurs'!$C$12:$C$307,"")</f>
        <v>cl</v>
      </c>
      <c r="C29" s="76">
        <v>2</v>
      </c>
      <c r="D29" s="77">
        <f>_xlfn.XLOOKUP(Tableau57123141618202224[[#This Row],[Article]],'Liste des fournisseurs'!$B$12:$B$307,'Liste des fournisseurs'!$F$12:$F$307,"")</f>
        <v>0.14000000000000001</v>
      </c>
      <c r="E29" s="78">
        <f>IFERROR(Tableau57123141618202224[[#This Row],[Coût d''achat HT à l''unité]]*Tableau57123141618202224[[#This Row],[Unités nécessaires]],"")</f>
        <v>0.28000000000000003</v>
      </c>
    </row>
    <row r="30" spans="1:5" ht="17">
      <c r="A30" s="8" t="s">
        <v>282</v>
      </c>
      <c r="B30" s="75" t="str">
        <f>_xlfn.XLOOKUP(Tableau57123141618202224[[#This Row],[Article]],'Liste des fournisseurs'!$B$12:$B$307,'Liste des fournisseurs'!$C$12:$C$307,"")</f>
        <v xml:space="preserve">unité </v>
      </c>
      <c r="C30" s="76">
        <v>2</v>
      </c>
      <c r="D30" s="77">
        <f>_xlfn.XLOOKUP(Tableau57123141618202224[[#This Row],[Article]],'Liste des fournisseurs'!$B$12:$B$307,'Liste des fournisseurs'!$F$12:$F$307,"")</f>
        <v>0.38496436000000001</v>
      </c>
      <c r="E30" s="78">
        <f>IFERROR(Tableau57123141618202224[[#This Row],[Coût d''achat HT à l''unité]]*Tableau57123141618202224[[#This Row],[Unités nécessaires]],"")</f>
        <v>0.76992872000000001</v>
      </c>
    </row>
    <row r="31" spans="1:5" ht="17">
      <c r="A31" s="8" t="s">
        <v>241</v>
      </c>
      <c r="B31" s="75" t="str">
        <f>_xlfn.XLOOKUP(Tableau57123141618202224[[#This Row],[Article]],'Liste des fournisseurs'!$B$12:$B$307,'Liste des fournisseurs'!$C$12:$C$307,"")</f>
        <v>cl</v>
      </c>
      <c r="C31" s="76">
        <v>2</v>
      </c>
      <c r="D31" s="77">
        <f>_xlfn.XLOOKUP(Tableau57123141618202224[[#This Row],[Article]],'Liste des fournisseurs'!$B$12:$B$307,'Liste des fournisseurs'!$F$12:$F$307,"")</f>
        <v>0.17142857142857143</v>
      </c>
      <c r="E31" s="78">
        <f>IFERROR(Tableau57123141618202224[[#This Row],[Coût d''achat HT à l''unité]]*Tableau57123141618202224[[#This Row],[Unités nécessaires]],"")</f>
        <v>0.34285714285714286</v>
      </c>
    </row>
    <row r="32" spans="1:5" ht="17">
      <c r="A32" s="8" t="s">
        <v>279</v>
      </c>
      <c r="B32" s="75" t="str">
        <f>_xlfn.XLOOKUP(Tableau57123141618202224[[#This Row],[Article]],'Liste des fournisseurs'!$B$12:$B$307,'Liste des fournisseurs'!$C$12:$C$307,"")</f>
        <v>unité</v>
      </c>
      <c r="C32" s="76">
        <v>8</v>
      </c>
      <c r="D32" s="77">
        <f>_xlfn.XLOOKUP(Tableau57123141618202224[[#This Row],[Article]],'Liste des fournisseurs'!$B$12:$B$307,'Liste des fournisseurs'!$F$12:$F$307,"")</f>
        <v>0</v>
      </c>
      <c r="E32" s="78">
        <f>IFERROR(Tableau57123141618202224[[#This Row],[Coût d''achat HT à l''unité]]*Tableau57123141618202224[[#This Row],[Unités nécessaires]],"")</f>
        <v>0</v>
      </c>
    </row>
    <row r="33" spans="1:5" ht="17">
      <c r="A33" s="34" t="s">
        <v>7</v>
      </c>
      <c r="B33" s="79"/>
      <c r="C33" s="79"/>
      <c r="D33" s="79"/>
      <c r="E33" s="107">
        <f>SUM(Tableau57123141618202224[Prix de revient HT])</f>
        <v>1.6200585901298701</v>
      </c>
    </row>
    <row r="34" spans="1:5" ht="17">
      <c r="A34" s="37" t="s">
        <v>8</v>
      </c>
      <c r="B34" s="81"/>
      <c r="C34" s="81"/>
      <c r="D34" s="81"/>
      <c r="E34" s="108">
        <f>E33/B15</f>
        <v>1.6200585901298701</v>
      </c>
    </row>
    <row r="35" spans="1:5" ht="17">
      <c r="A35" s="37" t="s">
        <v>9</v>
      </c>
      <c r="B35" s="83">
        <v>0.2</v>
      </c>
      <c r="C35" s="81"/>
      <c r="D35" s="81"/>
      <c r="E35" s="108">
        <f>SUM(E28:E32)</f>
        <v>1.6200585901298701</v>
      </c>
    </row>
    <row r="36" spans="1:5" ht="17">
      <c r="A36" s="37" t="s">
        <v>10</v>
      </c>
      <c r="B36" s="81"/>
      <c r="C36" s="81"/>
      <c r="D36" s="81"/>
      <c r="E36" s="108">
        <f>E34+B35*E34</f>
        <v>1.9440703081558441</v>
      </c>
    </row>
    <row r="37" spans="1:5" ht="20">
      <c r="A37" s="114" t="s">
        <v>13</v>
      </c>
      <c r="B37" s="84"/>
      <c r="C37" s="84"/>
      <c r="D37" s="84"/>
      <c r="E37" s="212">
        <v>4.5</v>
      </c>
    </row>
    <row r="38" spans="1:5" ht="20">
      <c r="A38" s="51" t="s">
        <v>483</v>
      </c>
      <c r="B38" s="86"/>
      <c r="C38" s="86"/>
      <c r="D38" s="86"/>
      <c r="E38" s="116">
        <f>(E40-E36)/E40</f>
        <v>0.77777777777777779</v>
      </c>
    </row>
    <row r="39" spans="1:5" ht="20">
      <c r="A39" s="205" t="s">
        <v>484</v>
      </c>
      <c r="B39" s="208"/>
      <c r="C39" s="208"/>
      <c r="D39" s="208"/>
      <c r="E39" s="209" t="s">
        <v>482</v>
      </c>
    </row>
    <row r="40" spans="1:5" ht="19">
      <c r="A40" s="37" t="s">
        <v>11</v>
      </c>
      <c r="B40" s="87"/>
      <c r="C40" s="87"/>
      <c r="D40" s="87"/>
      <c r="E40" s="110">
        <f>E36*E37</f>
        <v>8.7483163867012994</v>
      </c>
    </row>
    <row r="41" spans="1:5" ht="20" thickBot="1">
      <c r="A41" s="41" t="s">
        <v>12</v>
      </c>
      <c r="B41" s="89"/>
      <c r="C41" s="89"/>
      <c r="D41" s="89"/>
      <c r="E41" s="111">
        <f>E40-E36</f>
        <v>6.8042460785454555</v>
      </c>
    </row>
    <row r="43" spans="1:5" ht="15" thickBot="1"/>
    <row r="44" spans="1:5" ht="26">
      <c r="A44" s="245" t="s">
        <v>301</v>
      </c>
      <c r="B44" s="246"/>
      <c r="C44" s="246"/>
      <c r="D44" s="246"/>
      <c r="E44" s="247"/>
    </row>
    <row r="45" spans="1:5" ht="16">
      <c r="A45" s="131" t="s">
        <v>340</v>
      </c>
      <c r="B45" s="132"/>
      <c r="C45" s="132"/>
      <c r="D45" s="132"/>
      <c r="E45" s="133"/>
    </row>
    <row r="46" spans="1:5" ht="16">
      <c r="A46" s="131" t="s">
        <v>341</v>
      </c>
      <c r="B46" s="132"/>
      <c r="C46" s="132"/>
      <c r="D46" s="132"/>
      <c r="E46" s="133"/>
    </row>
    <row r="47" spans="1:5" ht="16">
      <c r="A47" s="131" t="s">
        <v>342</v>
      </c>
      <c r="B47" s="134"/>
      <c r="C47" s="134"/>
      <c r="D47" s="132"/>
      <c r="E47" s="133"/>
    </row>
    <row r="48" spans="1:5" ht="17" thickBot="1">
      <c r="A48" s="135" t="s">
        <v>343</v>
      </c>
      <c r="B48" s="136"/>
      <c r="C48" s="136"/>
      <c r="D48" s="136"/>
      <c r="E48" s="137"/>
    </row>
    <row r="49" spans="1:5" ht="19">
      <c r="A49" s="123"/>
      <c r="B49" s="123"/>
      <c r="C49" s="122"/>
      <c r="D49" s="122"/>
      <c r="E49" s="122"/>
    </row>
    <row r="50" spans="1:5" ht="19">
      <c r="A50" s="123"/>
      <c r="B50" s="122"/>
      <c r="C50" s="122"/>
      <c r="D50" s="122"/>
      <c r="E50" s="122"/>
    </row>
    <row r="51" spans="1:5">
      <c r="A51" s="66"/>
      <c r="B51" s="106"/>
      <c r="C51" s="106"/>
      <c r="D51" s="106"/>
    </row>
    <row r="52" spans="1:5">
      <c r="A52" s="66"/>
      <c r="B52" s="106"/>
      <c r="C52" s="106"/>
      <c r="D52" s="106"/>
    </row>
    <row r="53" spans="1:5">
      <c r="A53" s="66"/>
      <c r="B53" s="106"/>
      <c r="C53" s="106"/>
      <c r="D53" s="106"/>
    </row>
    <row r="54" spans="1:5">
      <c r="A54" s="66"/>
      <c r="B54" s="106"/>
      <c r="C54" s="106"/>
      <c r="D54" s="106"/>
    </row>
    <row r="55" spans="1:5">
      <c r="A55" s="66"/>
    </row>
    <row r="56" spans="1:5">
      <c r="A56" s="66"/>
    </row>
    <row r="57" spans="1:5">
      <c r="A57" s="66"/>
    </row>
    <row r="58" spans="1:5">
      <c r="A58" s="66"/>
    </row>
    <row r="59" spans="1:5">
      <c r="A59" s="66"/>
    </row>
    <row r="60" spans="1:5">
      <c r="A60" s="66"/>
    </row>
    <row r="61" spans="1:5">
      <c r="A61" s="66"/>
    </row>
    <row r="62" spans="1:5">
      <c r="A62" s="66"/>
    </row>
    <row r="63" spans="1:5">
      <c r="A63" s="66"/>
    </row>
    <row r="64" spans="1:5">
      <c r="A64" s="66"/>
    </row>
    <row r="65" spans="1:1">
      <c r="A65" s="66"/>
    </row>
    <row r="66" spans="1:1">
      <c r="A66" s="66"/>
    </row>
  </sheetData>
  <mergeCells count="4">
    <mergeCell ref="A13:E13"/>
    <mergeCell ref="A11:E11"/>
    <mergeCell ref="A9:E9"/>
    <mergeCell ref="A44:E44"/>
  </mergeCells>
  <dataValidations count="1">
    <dataValidation type="list" allowBlank="1" showInputMessage="1" showErrorMessage="1" sqref="A11" xr:uid="{0F1E1F23-8D2C-5547-84C4-A84BB3277C0E}">
      <formula1>"Cocktail,Mocktail,Desserts,Entrées chaudes,Entrées froides,Pâtes en Folie,Pâtes classiques"</formula1>
    </dataValidation>
  </dataValidations>
  <pageMargins left="0.25" right="0.25" top="0.75" bottom="0.75" header="0.3" footer="0.3"/>
  <pageSetup paperSize="9" scale="50" orientation="portrait" horizontalDpi="0" verticalDpi="0"/>
  <colBreaks count="1" manualBreakCount="1">
    <brk id="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D6D3B8-AAAD-574A-9EB9-C3FD6FF495CD}">
          <x14:formula1>
            <xm:f>'Liste des fournisseurs'!$B$12:$B$307</xm:f>
          </x14:formula1>
          <xm:sqref>A28:A32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2EFE-E146-FC4A-B41A-7A9F0D72C5A5}">
  <sheetPr>
    <pageSetUpPr fitToPage="1"/>
  </sheetPr>
  <dimension ref="B1:N58"/>
  <sheetViews>
    <sheetView topLeftCell="A16" zoomScale="138" zoomScaleNormal="118" workbookViewId="0">
      <selection activeCell="F38" sqref="F38"/>
    </sheetView>
  </sheetViews>
  <sheetFormatPr baseColWidth="10" defaultRowHeight="14"/>
  <cols>
    <col min="1" max="1" width="10.83203125" style="11"/>
    <col min="2" max="2" width="48.83203125" style="9" customWidth="1"/>
    <col min="3" max="3" width="13" style="10" bestFit="1" customWidth="1"/>
    <col min="4" max="4" width="19.5" style="10" bestFit="1" customWidth="1"/>
    <col min="5" max="5" width="19.83203125" style="10" bestFit="1" customWidth="1"/>
    <col min="6" max="6" width="24.33203125" style="10" customWidth="1"/>
    <col min="7" max="7" width="10.83203125" style="11"/>
    <col min="8" max="8" width="20.1640625" style="11" bestFit="1" customWidth="1"/>
    <col min="9" max="16384" width="10.83203125" style="11"/>
  </cols>
  <sheetData>
    <row r="1" spans="2:14">
      <c r="G1" s="30"/>
      <c r="H1" s="30"/>
    </row>
    <row r="2" spans="2:14">
      <c r="G2" s="30"/>
      <c r="H2" s="30"/>
    </row>
    <row r="3" spans="2:14">
      <c r="G3" s="30"/>
      <c r="H3" s="30"/>
    </row>
    <row r="4" spans="2:14">
      <c r="G4" s="30"/>
      <c r="H4" s="30"/>
    </row>
    <row r="5" spans="2:14">
      <c r="G5" s="30"/>
      <c r="H5" s="30"/>
    </row>
    <row r="6" spans="2:14">
      <c r="G6" s="30"/>
      <c r="H6" s="30"/>
    </row>
    <row r="7" spans="2:14" ht="15" thickBot="1">
      <c r="G7" s="30"/>
      <c r="H7" s="30"/>
    </row>
    <row r="8" spans="2:14" ht="15" thickBot="1">
      <c r="G8" s="30"/>
      <c r="H8" s="30"/>
    </row>
    <row r="9" spans="2:14" ht="27" thickBot="1">
      <c r="B9" s="233" t="s">
        <v>0</v>
      </c>
      <c r="C9" s="234"/>
      <c r="D9" s="234"/>
      <c r="E9" s="234"/>
      <c r="F9" s="235"/>
      <c r="G9" s="31"/>
      <c r="H9" s="31"/>
      <c r="I9" s="31"/>
      <c r="J9" s="31"/>
      <c r="K9" s="31"/>
      <c r="L9" s="31"/>
      <c r="M9" s="31"/>
      <c r="N9" s="31"/>
    </row>
    <row r="10" spans="2:14" ht="15" thickBot="1">
      <c r="B10" s="12"/>
      <c r="G10" s="30"/>
      <c r="H10" s="30"/>
      <c r="I10" s="30"/>
      <c r="J10" s="30"/>
      <c r="K10" s="30"/>
      <c r="L10" s="30"/>
      <c r="M10" s="30"/>
      <c r="N10" s="30"/>
    </row>
    <row r="11" spans="2:14" ht="27" thickBot="1">
      <c r="B11" s="233" t="s">
        <v>274</v>
      </c>
      <c r="C11" s="234"/>
      <c r="D11" s="234"/>
      <c r="E11" s="234"/>
      <c r="F11" s="235"/>
      <c r="G11" s="31"/>
      <c r="H11" s="31"/>
      <c r="I11" s="31"/>
      <c r="J11" s="31"/>
      <c r="K11" s="31"/>
      <c r="L11" s="31"/>
      <c r="M11" s="31"/>
      <c r="N11" s="31"/>
    </row>
    <row r="12" spans="2:14" ht="15" thickBot="1">
      <c r="B12" s="13"/>
      <c r="G12" s="30"/>
      <c r="H12" s="32"/>
      <c r="I12" s="30"/>
      <c r="J12" s="30"/>
      <c r="K12" s="30"/>
      <c r="L12" s="30"/>
      <c r="M12" s="30"/>
      <c r="N12" s="30"/>
    </row>
    <row r="13" spans="2:14" ht="27" thickBot="1">
      <c r="B13" s="230" t="s">
        <v>281</v>
      </c>
      <c r="C13" s="231"/>
      <c r="D13" s="231"/>
      <c r="E13" s="231"/>
      <c r="F13" s="232"/>
      <c r="G13" s="33"/>
      <c r="H13" s="33"/>
      <c r="I13" s="33"/>
      <c r="J13" s="33"/>
      <c r="K13" s="33"/>
      <c r="L13" s="33"/>
      <c r="M13" s="33"/>
      <c r="N13" s="33"/>
    </row>
    <row r="14" spans="2:14">
      <c r="B14" s="12"/>
      <c r="G14" s="30"/>
      <c r="H14" s="30"/>
    </row>
    <row r="15" spans="2:14" ht="22">
      <c r="B15" s="60" t="s">
        <v>292</v>
      </c>
      <c r="C15" s="22">
        <v>1</v>
      </c>
      <c r="G15" s="30"/>
      <c r="H15" s="30"/>
    </row>
    <row r="16" spans="2:14" ht="21">
      <c r="B16" s="23"/>
      <c r="C16" s="24"/>
      <c r="G16" s="30"/>
      <c r="H16" s="30"/>
    </row>
    <row r="17" spans="2:6" ht="22">
      <c r="B17" s="21" t="s">
        <v>1</v>
      </c>
      <c r="C17" s="52">
        <f>(C18*F40)+F40</f>
        <v>14.931281686104935</v>
      </c>
    </row>
    <row r="18" spans="2:6" ht="22">
      <c r="B18" s="21" t="s">
        <v>2</v>
      </c>
      <c r="C18" s="26">
        <v>0.16</v>
      </c>
    </row>
    <row r="19" spans="2:6" ht="21">
      <c r="E19" s="53"/>
    </row>
    <row r="20" spans="2:6" ht="20">
      <c r="B20" s="73" t="s">
        <v>294</v>
      </c>
      <c r="C20" s="13"/>
    </row>
    <row r="21" spans="2:6" ht="20">
      <c r="B21" s="74" t="s">
        <v>295</v>
      </c>
    </row>
    <row r="22" spans="2:6" ht="21" thickBot="1">
      <c r="B22" s="74" t="s">
        <v>296</v>
      </c>
      <c r="C22" s="13"/>
    </row>
    <row r="23" spans="2:6" ht="22" thickTop="1" thickBot="1">
      <c r="B23" s="74" t="s">
        <v>297</v>
      </c>
      <c r="C23" s="105"/>
    </row>
    <row r="24" spans="2:6" ht="15" thickTop="1"/>
    <row r="25" spans="2:6" ht="19">
      <c r="B25" s="62" t="s">
        <v>298</v>
      </c>
      <c r="C25" s="62" t="s">
        <v>344</v>
      </c>
    </row>
    <row r="26" spans="2:6" ht="15" thickBot="1">
      <c r="B26" s="12"/>
    </row>
    <row r="27" spans="2:6" ht="49" customHeight="1" thickBot="1">
      <c r="B27" s="28" t="s">
        <v>3</v>
      </c>
      <c r="C27" s="29" t="s">
        <v>94</v>
      </c>
      <c r="D27" s="29" t="s">
        <v>5</v>
      </c>
      <c r="E27" s="29" t="s">
        <v>4</v>
      </c>
      <c r="F27" s="29" t="s">
        <v>6</v>
      </c>
    </row>
    <row r="28" spans="2:6" ht="17">
      <c r="B28" s="8" t="s">
        <v>170</v>
      </c>
      <c r="C28" s="5" t="str">
        <f>_xlfn.XLOOKUP(Tableau5712314161820222430[[#This Row],[Article]],'Liste des fournisseurs'!$B$12:$B$307,'Liste des fournisseurs'!$C$12:$C$307,"")</f>
        <v>cl</v>
      </c>
      <c r="D28" s="20">
        <v>8</v>
      </c>
      <c r="E28" s="6">
        <f>_xlfn.XLOOKUP(Tableau5712314161820222430[[#This Row],[Article]],'Liste des fournisseurs'!$B$12:$B$307,'Liste des fournisseurs'!$F$12:$F$307,"")</f>
        <v>0.17857142857142858</v>
      </c>
      <c r="F28" s="7">
        <f>IFERROR(Tableau5712314161820222430[[#This Row],[Coût d''achat HT à l''unité]]*Tableau5712314161820222430[[#This Row],[Unités nécessaires]],"")</f>
        <v>1.4285714285714286</v>
      </c>
    </row>
    <row r="29" spans="2:6" ht="17">
      <c r="B29" s="8" t="s">
        <v>241</v>
      </c>
      <c r="C29" s="5" t="str">
        <f>_xlfn.XLOOKUP(Tableau5712314161820222430[[#This Row],[Article]],'Liste des fournisseurs'!$B$12:$B$307,'Liste des fournisseurs'!$C$12:$C$307,"")</f>
        <v>cl</v>
      </c>
      <c r="D29" s="20">
        <v>2</v>
      </c>
      <c r="E29" s="6">
        <f>_xlfn.XLOOKUP(Tableau5712314161820222430[[#This Row],[Article]],'Liste des fournisseurs'!$B$12:$B$307,'Liste des fournisseurs'!$F$12:$F$307,"")</f>
        <v>0.17142857142857143</v>
      </c>
      <c r="F29" s="7">
        <f>IFERROR(Tableau5712314161820222430[[#This Row],[Coût d''achat HT à l''unité]]*Tableau5712314161820222430[[#This Row],[Unités nécessaires]],"")</f>
        <v>0.34285714285714286</v>
      </c>
    </row>
    <row r="30" spans="2:6" ht="17">
      <c r="B30" s="8" t="s">
        <v>218</v>
      </c>
      <c r="C30" s="5" t="str">
        <f>_xlfn.XLOOKUP(Tableau5712314161820222430[[#This Row],[Article]],'Liste des fournisseurs'!$B$12:$B$307,'Liste des fournisseurs'!$C$12:$C$307,"")</f>
        <v>cl</v>
      </c>
      <c r="D30" s="20">
        <v>15</v>
      </c>
      <c r="E30" s="6">
        <f>_xlfn.XLOOKUP(Tableau5712314161820222430[[#This Row],[Article]],'Liste des fournisseurs'!$B$12:$B$307,'Liste des fournisseurs'!$F$12:$F$307,"")</f>
        <v>1.5151515151515152E-2</v>
      </c>
      <c r="F30" s="7">
        <f>IFERROR(Tableau5712314161820222430[[#This Row],[Coût d''achat HT à l''unité]]*Tableau5712314161820222430[[#This Row],[Unités nécessaires]],"")</f>
        <v>0.22727272727272729</v>
      </c>
    </row>
    <row r="31" spans="2:6" ht="17">
      <c r="B31" s="8" t="s">
        <v>282</v>
      </c>
      <c r="C31" s="5" t="str">
        <f>_xlfn.XLOOKUP(Tableau5712314161820222430[[#This Row],[Article]],'Liste des fournisseurs'!$B$12:$B$307,'Liste des fournisseurs'!$C$12:$C$307,"")</f>
        <v xml:space="preserve">unité </v>
      </c>
      <c r="D31" s="20">
        <v>1</v>
      </c>
      <c r="E31" s="6">
        <f>_xlfn.XLOOKUP(Tableau5712314161820222430[[#This Row],[Article]],'Liste des fournisseurs'!$B$12:$B$307,'Liste des fournisseurs'!$F$12:$F$307,"")</f>
        <v>0.38496436000000001</v>
      </c>
      <c r="F31" s="7">
        <f>IFERROR(Tableau5712314161820222430[[#This Row],[Coût d''achat HT à l''unité]]*Tableau5712314161820222430[[#This Row],[Unités nécessaires]],"")</f>
        <v>0.38496436000000001</v>
      </c>
    </row>
    <row r="32" spans="2:6" ht="17">
      <c r="B32" s="8" t="s">
        <v>279</v>
      </c>
      <c r="C32" s="5" t="str">
        <f>_xlfn.XLOOKUP(Tableau5712314161820222430[[#This Row],[Article]],'Liste des fournisseurs'!$B$12:$B$307,'Liste des fournisseurs'!$C$12:$C$307,"")</f>
        <v>unité</v>
      </c>
      <c r="D32" s="20">
        <v>8</v>
      </c>
      <c r="E32" s="6">
        <f>_xlfn.XLOOKUP(Tableau5712314161820222430[[#This Row],[Article]],'Liste des fournisseurs'!$B$12:$B$307,'Liste des fournisseurs'!$F$12:$F$307,"")</f>
        <v>0</v>
      </c>
      <c r="F32" s="7">
        <f>IFERROR(Tableau5712314161820222430[[#This Row],[Coût d''achat HT à l''unité]]*Tableau5712314161820222430[[#This Row],[Unités nécessaires]],"")</f>
        <v>0</v>
      </c>
    </row>
    <row r="33" spans="2:6" ht="17">
      <c r="B33" s="34" t="s">
        <v>7</v>
      </c>
      <c r="C33" s="35"/>
      <c r="D33" s="35"/>
      <c r="E33" s="35"/>
      <c r="F33" s="42">
        <f>SUM(Tableau5712314161820222430[Prix de revient HT])</f>
        <v>2.3836656587012985</v>
      </c>
    </row>
    <row r="34" spans="2:6" ht="17">
      <c r="B34" s="37" t="s">
        <v>8</v>
      </c>
      <c r="C34" s="38"/>
      <c r="D34" s="38"/>
      <c r="E34" s="38"/>
      <c r="F34" s="43">
        <f>F33/C15</f>
        <v>2.3836656587012985</v>
      </c>
    </row>
    <row r="35" spans="2:6" ht="17">
      <c r="B35" s="37" t="s">
        <v>9</v>
      </c>
      <c r="C35" s="40">
        <v>0.2</v>
      </c>
      <c r="D35" s="38"/>
      <c r="E35" s="38"/>
      <c r="F35" s="43">
        <f>SUM(F28:F32)</f>
        <v>2.3836656587012985</v>
      </c>
    </row>
    <row r="36" spans="2:6" ht="17">
      <c r="B36" s="37" t="s">
        <v>10</v>
      </c>
      <c r="C36" s="38"/>
      <c r="D36" s="38"/>
      <c r="E36" s="38"/>
      <c r="F36" s="43">
        <f>F34+C35*F34</f>
        <v>2.8603987904415584</v>
      </c>
    </row>
    <row r="37" spans="2:6" ht="20">
      <c r="B37" s="114" t="s">
        <v>13</v>
      </c>
      <c r="C37" s="48"/>
      <c r="D37" s="48"/>
      <c r="E37" s="48"/>
      <c r="F37" s="115">
        <v>4.5</v>
      </c>
    </row>
    <row r="38" spans="2:6" ht="20">
      <c r="B38" s="51" t="s">
        <v>483</v>
      </c>
      <c r="C38" s="49"/>
      <c r="D38" s="49"/>
      <c r="E38" s="49"/>
      <c r="F38" s="116">
        <f>(F40-F36)/F40</f>
        <v>0.77777777777777779</v>
      </c>
    </row>
    <row r="39" spans="2:6" ht="20">
      <c r="B39" s="205" t="s">
        <v>484</v>
      </c>
      <c r="C39" s="208"/>
      <c r="D39" s="208"/>
      <c r="E39" s="208"/>
      <c r="F39" s="209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12.871794556987012</v>
      </c>
    </row>
    <row r="41" spans="2:6" ht="20" thickBot="1">
      <c r="B41" s="41" t="s">
        <v>12</v>
      </c>
      <c r="C41" s="18"/>
      <c r="D41" s="18"/>
      <c r="E41" s="18"/>
      <c r="F41" s="45">
        <f>F40-F36</f>
        <v>10.011395766545455</v>
      </c>
    </row>
    <row r="42" spans="2:6" ht="15" thickBot="1"/>
    <row r="43" spans="2:6" ht="26">
      <c r="B43" s="236" t="s">
        <v>301</v>
      </c>
      <c r="C43" s="237"/>
      <c r="D43" s="237"/>
      <c r="E43" s="237"/>
      <c r="F43" s="238"/>
    </row>
    <row r="44" spans="2:6" ht="16">
      <c r="B44" s="126" t="s">
        <v>351</v>
      </c>
      <c r="C44" s="64"/>
      <c r="D44" s="64"/>
      <c r="E44" s="64"/>
      <c r="F44" s="127"/>
    </row>
    <row r="45" spans="2:6" ht="16">
      <c r="B45" s="126" t="s">
        <v>352</v>
      </c>
      <c r="C45" s="128"/>
      <c r="D45" s="64"/>
      <c r="E45" s="64"/>
      <c r="F45" s="127"/>
    </row>
    <row r="46" spans="2:6" ht="16">
      <c r="B46" s="126" t="s">
        <v>353</v>
      </c>
      <c r="C46" s="64"/>
      <c r="D46" s="64"/>
      <c r="E46" s="64"/>
      <c r="F46" s="127"/>
    </row>
    <row r="47" spans="2:6" ht="16">
      <c r="B47" s="126" t="s">
        <v>354</v>
      </c>
      <c r="C47" s="64"/>
      <c r="D47" s="64"/>
      <c r="E47" s="64"/>
      <c r="F47" s="127"/>
    </row>
    <row r="48" spans="2:6" ht="16">
      <c r="B48" s="129" t="s">
        <v>361</v>
      </c>
      <c r="C48" s="64"/>
      <c r="D48" s="64"/>
      <c r="E48" s="64"/>
      <c r="F48" s="127"/>
    </row>
    <row r="49" spans="2:6" ht="16">
      <c r="B49" s="126" t="s">
        <v>355</v>
      </c>
      <c r="C49" s="64"/>
      <c r="D49" s="64"/>
      <c r="E49" s="64"/>
      <c r="F49" s="127"/>
    </row>
    <row r="50" spans="2:6" ht="16">
      <c r="B50" s="129" t="s">
        <v>360</v>
      </c>
      <c r="C50" s="64"/>
      <c r="D50" s="64"/>
      <c r="E50" s="64"/>
      <c r="F50" s="127"/>
    </row>
    <row r="51" spans="2:6" ht="16">
      <c r="B51" s="126" t="s">
        <v>356</v>
      </c>
      <c r="C51" s="64"/>
      <c r="D51" s="64"/>
      <c r="E51" s="64"/>
      <c r="F51" s="127"/>
    </row>
    <row r="52" spans="2:6" ht="16">
      <c r="B52" s="126" t="s">
        <v>357</v>
      </c>
      <c r="C52" s="64"/>
      <c r="D52" s="64"/>
      <c r="E52" s="64"/>
      <c r="F52" s="127"/>
    </row>
    <row r="53" spans="2:6" ht="16">
      <c r="B53" s="126" t="s">
        <v>358</v>
      </c>
      <c r="C53" s="64"/>
      <c r="D53" s="64"/>
      <c r="E53" s="64"/>
      <c r="F53" s="127"/>
    </row>
    <row r="54" spans="2:6" ht="16">
      <c r="B54" s="126" t="s">
        <v>359</v>
      </c>
      <c r="C54" s="64"/>
      <c r="D54" s="64"/>
      <c r="E54" s="64"/>
      <c r="F54" s="127"/>
    </row>
    <row r="55" spans="2:6" ht="17" thickBot="1">
      <c r="B55" s="159" t="s">
        <v>373</v>
      </c>
      <c r="C55" s="160"/>
      <c r="D55" s="160"/>
      <c r="E55" s="160"/>
      <c r="F55" s="161"/>
    </row>
    <row r="56" spans="2:6" ht="16">
      <c r="B56" s="128"/>
      <c r="C56" s="64"/>
      <c r="D56" s="64"/>
      <c r="E56" s="64"/>
      <c r="F56" s="64"/>
    </row>
    <row r="57" spans="2:6" ht="16">
      <c r="B57" s="158"/>
      <c r="C57" s="141"/>
      <c r="D57" s="141"/>
      <c r="E57" s="141"/>
      <c r="F57" s="141"/>
    </row>
    <row r="58" spans="2:6">
      <c r="B58" s="106"/>
      <c r="C58" s="54"/>
      <c r="D58" s="54"/>
      <c r="E58" s="54"/>
      <c r="F58" s="54"/>
    </row>
  </sheetData>
  <mergeCells count="4">
    <mergeCell ref="B9:F9"/>
    <mergeCell ref="B11:F11"/>
    <mergeCell ref="B13:F13"/>
    <mergeCell ref="B43:F43"/>
  </mergeCells>
  <dataValidations count="1">
    <dataValidation type="list" allowBlank="1" showInputMessage="1" showErrorMessage="1" sqref="B11" xr:uid="{48DF4442-1E4C-4449-AFEA-73AAC6E25037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67" orientation="portrait" horizontalDpi="0" verticalDpi="0"/>
  <colBreaks count="2" manualBreakCount="2">
    <brk id="1" max="58" man="1"/>
    <brk id="7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94A2C6-0BE6-8C47-A1ED-0F036DBB53C1}">
          <x14:formula1>
            <xm:f>'Liste des fournisseurs'!$B$12:$B$307</xm:f>
          </x14:formula1>
          <xm:sqref>B28:B32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98FC-3053-164A-BD8E-B9F757D05091}">
  <sheetPr>
    <pageSetUpPr fitToPage="1"/>
  </sheetPr>
  <dimension ref="A8:L50"/>
  <sheetViews>
    <sheetView topLeftCell="A27" zoomScale="165" zoomScaleNormal="85" zoomScalePageLayoutView="50" workbookViewId="0">
      <selection activeCell="E39" sqref="E39"/>
    </sheetView>
  </sheetViews>
  <sheetFormatPr baseColWidth="10" defaultRowHeight="14"/>
  <cols>
    <col min="1" max="1" width="38.33203125" style="9" customWidth="1"/>
    <col min="2" max="2" width="11.33203125" style="10" customWidth="1"/>
    <col min="3" max="3" width="19.5" style="10" bestFit="1" customWidth="1"/>
    <col min="4" max="4" width="17.5" style="10" customWidth="1"/>
    <col min="5" max="5" width="14.1640625" style="54" customWidth="1"/>
    <col min="6" max="6" width="20.1640625" style="11" bestFit="1" customWidth="1"/>
    <col min="7" max="16384" width="10.83203125" style="11"/>
  </cols>
  <sheetData>
    <row r="8" spans="1:12" ht="15" thickBot="1"/>
    <row r="9" spans="1:12" ht="27" thickBot="1">
      <c r="A9" s="233" t="s">
        <v>0</v>
      </c>
      <c r="B9" s="234"/>
      <c r="C9" s="234"/>
      <c r="D9" s="234"/>
      <c r="E9" s="235"/>
      <c r="F9" s="31"/>
      <c r="G9" s="31"/>
      <c r="H9" s="31"/>
      <c r="I9" s="31"/>
      <c r="J9" s="31"/>
      <c r="K9" s="31"/>
      <c r="L9" s="31"/>
    </row>
    <row r="10" spans="1:12" ht="15" thickBot="1">
      <c r="A10" s="12"/>
      <c r="F10" s="30"/>
      <c r="G10" s="30"/>
      <c r="H10" s="30"/>
      <c r="I10" s="30"/>
      <c r="J10" s="30"/>
      <c r="K10" s="30"/>
      <c r="L10" s="30"/>
    </row>
    <row r="11" spans="1:12" ht="27" thickBot="1">
      <c r="A11" s="233" t="s">
        <v>274</v>
      </c>
      <c r="B11" s="234"/>
      <c r="C11" s="234"/>
      <c r="D11" s="234"/>
      <c r="E11" s="235"/>
      <c r="F11" s="31"/>
      <c r="G11" s="31"/>
      <c r="H11" s="31"/>
      <c r="I11" s="31"/>
      <c r="J11" s="31"/>
      <c r="K11" s="31"/>
      <c r="L11" s="31"/>
    </row>
    <row r="12" spans="1:12" ht="15" thickBot="1">
      <c r="A12" s="13"/>
      <c r="F12" s="32"/>
      <c r="G12" s="30"/>
      <c r="H12" s="30"/>
      <c r="I12" s="30"/>
      <c r="J12" s="30"/>
      <c r="K12" s="30"/>
      <c r="L12" s="30"/>
    </row>
    <row r="13" spans="1:12" ht="27" thickBot="1">
      <c r="A13" s="230" t="s">
        <v>264</v>
      </c>
      <c r="B13" s="231"/>
      <c r="C13" s="231"/>
      <c r="D13" s="231"/>
      <c r="E13" s="232"/>
      <c r="F13" s="33"/>
      <c r="G13" s="33"/>
      <c r="H13" s="33"/>
      <c r="I13" s="33"/>
      <c r="J13" s="33"/>
      <c r="K13" s="33"/>
      <c r="L13" s="33"/>
    </row>
    <row r="14" spans="1:12">
      <c r="A14" s="12"/>
    </row>
    <row r="15" spans="1:12" ht="22">
      <c r="A15" s="60" t="s">
        <v>292</v>
      </c>
      <c r="B15" s="22">
        <v>1</v>
      </c>
    </row>
    <row r="16" spans="1:12" ht="21">
      <c r="A16" s="23"/>
      <c r="B16" s="24"/>
    </row>
    <row r="17" spans="1:5" ht="22">
      <c r="A17" s="21" t="s">
        <v>1</v>
      </c>
      <c r="B17" s="52">
        <f>(B18*E41)+E41</f>
        <v>14.042993142857144</v>
      </c>
    </row>
    <row r="18" spans="1:5" ht="22">
      <c r="A18" s="21" t="s">
        <v>2</v>
      </c>
      <c r="B18" s="26">
        <v>0.16</v>
      </c>
    </row>
    <row r="19" spans="1:5">
      <c r="A19" s="11"/>
      <c r="B19" s="11"/>
    </row>
    <row r="20" spans="1:5" ht="22" thickBot="1">
      <c r="A20" s="73" t="s">
        <v>294</v>
      </c>
      <c r="B20" s="13"/>
      <c r="D20" s="53"/>
    </row>
    <row r="21" spans="1:5" ht="22" thickTop="1" thickBot="1">
      <c r="A21" s="74" t="s">
        <v>295</v>
      </c>
      <c r="B21" s="105"/>
    </row>
    <row r="22" spans="1:5" ht="21" thickTop="1">
      <c r="A22" s="74" t="s">
        <v>296</v>
      </c>
      <c r="B22" s="13"/>
    </row>
    <row r="23" spans="1:5" ht="20">
      <c r="A23" s="74" t="s">
        <v>297</v>
      </c>
      <c r="B23" s="11"/>
    </row>
    <row r="25" spans="1:5" ht="19">
      <c r="A25" s="62" t="s">
        <v>298</v>
      </c>
      <c r="B25" s="62" t="s">
        <v>326</v>
      </c>
    </row>
    <row r="26" spans="1:5" ht="22" thickBot="1">
      <c r="A26" s="27"/>
      <c r="B26" s="24"/>
    </row>
    <row r="27" spans="1:5" ht="45" thickBot="1">
      <c r="A27" s="28" t="s">
        <v>3</v>
      </c>
      <c r="B27" s="29" t="s">
        <v>94</v>
      </c>
      <c r="C27" s="29" t="s">
        <v>5</v>
      </c>
      <c r="D27" s="29" t="s">
        <v>4</v>
      </c>
      <c r="E27" s="55" t="s">
        <v>6</v>
      </c>
    </row>
    <row r="28" spans="1:5" ht="17">
      <c r="A28" s="8" t="s">
        <v>114</v>
      </c>
      <c r="B28" s="5" t="str">
        <f>_xlfn.XLOOKUP(Tableau5712314161820222426[[#This Row],[Article]],'Liste des fournisseurs'!$B$12:$B$307,'Liste des fournisseurs'!$C$12:$C$307,"")</f>
        <v>cl</v>
      </c>
      <c r="C28" s="20">
        <v>8</v>
      </c>
      <c r="D28" s="6">
        <f>_xlfn.XLOOKUP(Tableau5712314161820222426[[#This Row],[Article]],'Liste des fournisseurs'!$B$12:$B$307,'Liste des fournisseurs'!$F$12:$F$307,"")</f>
        <v>0.12</v>
      </c>
      <c r="E28" s="7">
        <f>IFERROR(Tableau5712314161820222426[[#This Row],[Coût d''achat HT à l''unité]]*Tableau5712314161820222426[[#This Row],[Unités nécessaires]],"")</f>
        <v>0.96</v>
      </c>
    </row>
    <row r="29" spans="1:5" ht="17">
      <c r="A29" s="8" t="s">
        <v>244</v>
      </c>
      <c r="B29" s="5" t="str">
        <f>_xlfn.XLOOKUP(Tableau5712314161820222426[[#This Row],[Article]],'Liste des fournisseurs'!$B$12:$B$307,'Liste des fournisseurs'!$C$12:$C$307,"")</f>
        <v>cl</v>
      </c>
      <c r="C29" s="20">
        <v>5</v>
      </c>
      <c r="D29" s="6">
        <f>_xlfn.XLOOKUP(Tableau5712314161820222426[[#This Row],[Article]],'Liste des fournisseurs'!$B$12:$B$307,'Liste des fournisseurs'!$F$12:$F$307,"")</f>
        <v>2.86E-2</v>
      </c>
      <c r="E29" s="7">
        <f>IFERROR(Tableau5712314161820222426[[#This Row],[Coût d''achat HT à l''unité]]*Tableau5712314161820222426[[#This Row],[Unités nécessaires]],"")</f>
        <v>0.14300000000000002</v>
      </c>
    </row>
    <row r="30" spans="1:5" ht="17">
      <c r="A30" s="8" t="s">
        <v>245</v>
      </c>
      <c r="B30" s="5" t="str">
        <f>_xlfn.XLOOKUP(Tableau5712314161820222426[[#This Row],[Article]],'Liste des fournisseurs'!$B$12:$B$307,'Liste des fournisseurs'!$C$12:$C$307,"")</f>
        <v>cl</v>
      </c>
      <c r="C30" s="20">
        <v>5</v>
      </c>
      <c r="D30" s="6">
        <f>_xlfn.XLOOKUP(Tableau5712314161820222426[[#This Row],[Article]],'Liste des fournisseurs'!$B$12:$B$307,'Liste des fournisseurs'!$F$12:$F$307,"")</f>
        <v>2.86E-2</v>
      </c>
      <c r="E30" s="7">
        <f>IFERROR(Tableau5712314161820222426[[#This Row],[Coût d''achat HT à l''unité]]*Tableau5712314161820222426[[#This Row],[Unités nécessaires]],"")</f>
        <v>0.14300000000000002</v>
      </c>
    </row>
    <row r="31" spans="1:5" ht="17">
      <c r="A31" s="8" t="s">
        <v>235</v>
      </c>
      <c r="B31" s="5" t="str">
        <f>_xlfn.XLOOKUP(Tableau5712314161820222426[[#This Row],[Article]],'Liste des fournisseurs'!$B$12:$B$307,'Liste des fournisseurs'!$C$12:$C$307,"")</f>
        <v>cl</v>
      </c>
      <c r="C31" s="20">
        <v>2</v>
      </c>
      <c r="D31" s="6">
        <f>_xlfn.XLOOKUP(Tableau5712314161820222426[[#This Row],[Article]],'Liste des fournisseurs'!$B$12:$B$307,'Liste des fournisseurs'!$F$12:$F$307,"")</f>
        <v>0.11428571428571428</v>
      </c>
      <c r="E31" s="7">
        <f>IFERROR(Tableau5712314161820222426[[#This Row],[Coût d''achat HT à l''unité]]*Tableau5712314161820222426[[#This Row],[Unités nécessaires]],"")</f>
        <v>0.22857142857142856</v>
      </c>
    </row>
    <row r="32" spans="1:5" ht="17">
      <c r="A32" s="8" t="s">
        <v>276</v>
      </c>
      <c r="B32" s="5" t="str">
        <f>_xlfn.XLOOKUP(Tableau5712314161820222426[[#This Row],[Article]],'Liste des fournisseurs'!$B$12:$B$307,'Liste des fournisseurs'!$C$12:$C$307,"")</f>
        <v>cl</v>
      </c>
      <c r="C32" s="20">
        <v>1</v>
      </c>
      <c r="D32" s="6">
        <f>_xlfn.XLOOKUP(Tableau5712314161820222426[[#This Row],[Article]],'Liste des fournisseurs'!$B$12:$B$307,'Liste des fournisseurs'!$F$12:$F$307,"")</f>
        <v>0.02</v>
      </c>
      <c r="E32" s="7">
        <f>IFERROR(Tableau5712314161820222426[[#This Row],[Coût d''achat HT à l''unité]]*Tableau5712314161820222426[[#This Row],[Unités nécessaires]],"")</f>
        <v>0.02</v>
      </c>
    </row>
    <row r="33" spans="1:5" ht="16">
      <c r="A33" s="8"/>
      <c r="B33" s="5" t="str">
        <f>_xlfn.XLOOKUP(Tableau5712314161820222426[[#This Row],[Article]],'Liste des fournisseurs'!$B$12:$B$307,'Liste des fournisseurs'!$C$12:$C$307,"")</f>
        <v/>
      </c>
      <c r="C33" s="20"/>
      <c r="D33" s="6" t="str">
        <f>_xlfn.XLOOKUP(Tableau5712314161820222426[[#This Row],[Article]],'Liste des fournisseurs'!$B$12:$B$307,'Liste des fournisseurs'!$F$12:$F$307,"")</f>
        <v/>
      </c>
      <c r="E33" s="7" t="str">
        <f>IFERROR(Tableau5712314161820222426[[#This Row],[Coût d''achat HT à l''unité]]*Tableau5712314161820222426[[#This Row],[Unités nécessaires]],"")</f>
        <v/>
      </c>
    </row>
    <row r="34" spans="1:5" ht="17">
      <c r="A34" s="112" t="s">
        <v>7</v>
      </c>
      <c r="B34" s="38"/>
      <c r="C34" s="38"/>
      <c r="D34" s="38"/>
      <c r="E34" s="113">
        <f>SUM(Tableau5712314161820222426[Prix de revient HT])</f>
        <v>1.4945714285714287</v>
      </c>
    </row>
    <row r="35" spans="1:5" ht="34">
      <c r="A35" s="112" t="s">
        <v>8</v>
      </c>
      <c r="B35" s="38"/>
      <c r="C35" s="38"/>
      <c r="D35" s="38"/>
      <c r="E35" s="113">
        <f>E34/B15</f>
        <v>1.4945714285714287</v>
      </c>
    </row>
    <row r="36" spans="1:5" ht="17">
      <c r="A36" s="112" t="s">
        <v>9</v>
      </c>
      <c r="B36" s="40">
        <v>0.2</v>
      </c>
      <c r="C36" s="38"/>
      <c r="D36" s="38"/>
      <c r="E36" s="113">
        <f>SUM(E28:E33)</f>
        <v>1.4945714285714287</v>
      </c>
    </row>
    <row r="37" spans="1:5" ht="34">
      <c r="A37" s="112" t="s">
        <v>10</v>
      </c>
      <c r="B37" s="38"/>
      <c r="C37" s="38"/>
      <c r="D37" s="38"/>
      <c r="E37" s="113">
        <f>E35+B36*E35</f>
        <v>1.7934857142857143</v>
      </c>
    </row>
    <row r="38" spans="1:5" ht="20">
      <c r="A38" s="114" t="s">
        <v>13</v>
      </c>
      <c r="B38" s="48"/>
      <c r="C38" s="48"/>
      <c r="D38" s="48"/>
      <c r="E38" s="115">
        <v>6.75</v>
      </c>
    </row>
    <row r="39" spans="1:5" ht="20">
      <c r="A39" s="51" t="s">
        <v>483</v>
      </c>
      <c r="B39" s="49"/>
      <c r="C39" s="49"/>
      <c r="D39" s="49"/>
      <c r="E39" s="210">
        <f>(E41-E37)/E41</f>
        <v>0.85185185185185186</v>
      </c>
    </row>
    <row r="40" spans="1:5" ht="20">
      <c r="A40" s="205" t="s">
        <v>484</v>
      </c>
      <c r="B40" s="206"/>
      <c r="C40" s="206"/>
      <c r="D40" s="206"/>
      <c r="E40" s="211" t="s">
        <v>482</v>
      </c>
    </row>
    <row r="41" spans="1:5" ht="19">
      <c r="A41" s="112" t="s">
        <v>11</v>
      </c>
      <c r="B41" s="14"/>
      <c r="C41" s="14"/>
      <c r="D41" s="14"/>
      <c r="E41" s="117">
        <f>E37*E38</f>
        <v>12.106028571428572</v>
      </c>
    </row>
    <row r="42" spans="1:5" ht="19">
      <c r="A42" s="112" t="s">
        <v>12</v>
      </c>
      <c r="B42" s="14"/>
      <c r="C42" s="14"/>
      <c r="D42" s="14"/>
      <c r="E42" s="117">
        <f>E41-E37</f>
        <v>10.312542857142859</v>
      </c>
    </row>
    <row r="43" spans="1:5" ht="15" thickBot="1"/>
    <row r="44" spans="1:5" ht="26">
      <c r="A44" s="236" t="s">
        <v>301</v>
      </c>
      <c r="B44" s="237"/>
      <c r="C44" s="237"/>
      <c r="D44" s="237"/>
      <c r="E44" s="238"/>
    </row>
    <row r="45" spans="1:5" ht="19">
      <c r="A45" s="130" t="s">
        <v>338</v>
      </c>
      <c r="B45" s="118"/>
      <c r="C45" s="118"/>
      <c r="D45" s="118"/>
      <c r="E45" s="119"/>
    </row>
    <row r="46" spans="1:5" ht="19">
      <c r="A46" s="130" t="s">
        <v>362</v>
      </c>
      <c r="B46" s="118"/>
      <c r="C46" s="118"/>
      <c r="D46" s="118"/>
      <c r="E46" s="119"/>
    </row>
    <row r="47" spans="1:5" ht="20" thickBot="1">
      <c r="A47" s="139" t="s">
        <v>339</v>
      </c>
      <c r="B47" s="140"/>
      <c r="C47" s="140"/>
      <c r="D47" s="120"/>
      <c r="E47" s="121"/>
    </row>
    <row r="48" spans="1:5" ht="19">
      <c r="A48" s="138"/>
      <c r="B48" s="118"/>
      <c r="C48" s="118"/>
      <c r="D48" s="118"/>
      <c r="E48" s="118"/>
    </row>
    <row r="49" spans="1:5" ht="19">
      <c r="A49" s="138"/>
      <c r="B49" s="138"/>
      <c r="C49" s="118"/>
      <c r="D49" s="118"/>
      <c r="E49" s="118"/>
    </row>
    <row r="50" spans="1:5" ht="19">
      <c r="A50" s="138"/>
      <c r="B50" s="118"/>
      <c r="C50" s="118"/>
      <c r="D50" s="118"/>
      <c r="E50" s="118"/>
    </row>
  </sheetData>
  <mergeCells count="4">
    <mergeCell ref="A13:E13"/>
    <mergeCell ref="A11:E11"/>
    <mergeCell ref="A9:E9"/>
    <mergeCell ref="A44:E44"/>
  </mergeCells>
  <dataValidations count="1">
    <dataValidation type="list" allowBlank="1" showInputMessage="1" showErrorMessage="1" sqref="A11" xr:uid="{5474B234-5E18-524B-84CD-A0D3240C673C}">
      <formula1>"Cocktail,Mocktail,Desserts,Entrées chaudes,Entrées froides,Pâtes en Folie,Pâtes classiques"</formula1>
    </dataValidation>
  </dataValidations>
  <pageMargins left="0.25" right="0.25" top="0.75" bottom="0.75" header="0.3" footer="0.3"/>
  <pageSetup paperSize="9" scale="77" orientation="portrait" horizontalDpi="0" verticalDpi="0"/>
  <colBreaks count="1" manualBreakCount="1">
    <brk id="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A2214C-E752-F148-838E-1BC985BF5AC7}">
          <x14:formula1>
            <xm:f>'Liste des fournisseurs'!$B$12:$B$307</xm:f>
          </x14:formula1>
          <xm:sqref>A28:A33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812D-3BA3-E54F-9381-A9230484DE60}">
  <sheetPr>
    <pageSetUpPr fitToPage="1"/>
  </sheetPr>
  <dimension ref="A8:M55"/>
  <sheetViews>
    <sheetView topLeftCell="A16" zoomScale="125" zoomScaleNormal="100" workbookViewId="0">
      <selection activeCell="C17" sqref="C17"/>
    </sheetView>
  </sheetViews>
  <sheetFormatPr baseColWidth="10" defaultRowHeight="14"/>
  <cols>
    <col min="1" max="1" width="79" style="9" bestFit="1" customWidth="1"/>
    <col min="2" max="2" width="8.6640625" style="10" customWidth="1"/>
    <col min="3" max="3" width="19.5" style="10" bestFit="1" customWidth="1"/>
    <col min="4" max="4" width="21.6640625" style="10" bestFit="1" customWidth="1"/>
    <col min="5" max="5" width="18.6640625" style="54" bestFit="1" customWidth="1"/>
    <col min="6" max="6" width="10.83203125" style="30"/>
    <col min="7" max="7" width="20.1640625" style="11" bestFit="1" customWidth="1"/>
    <col min="8" max="16384" width="10.83203125" style="11"/>
  </cols>
  <sheetData>
    <row r="8" spans="1:13" ht="15" thickBot="1"/>
    <row r="9" spans="1:13" ht="27" thickBot="1">
      <c r="A9" s="233" t="s">
        <v>0</v>
      </c>
      <c r="B9" s="234"/>
      <c r="C9" s="234"/>
      <c r="D9" s="234"/>
      <c r="E9" s="235"/>
      <c r="F9" s="31"/>
      <c r="G9" s="31"/>
      <c r="H9" s="31"/>
      <c r="I9" s="31"/>
      <c r="J9" s="31"/>
      <c r="K9" s="31"/>
      <c r="L9" s="31"/>
      <c r="M9" s="31"/>
    </row>
    <row r="10" spans="1:13" ht="15" thickBot="1">
      <c r="A10" s="12"/>
      <c r="G10" s="30"/>
      <c r="H10" s="30"/>
      <c r="I10" s="30"/>
      <c r="J10" s="30"/>
      <c r="K10" s="30"/>
      <c r="L10" s="30"/>
      <c r="M10" s="30"/>
    </row>
    <row r="11" spans="1:13" ht="27" thickBot="1">
      <c r="A11" s="233" t="s">
        <v>274</v>
      </c>
      <c r="B11" s="234"/>
      <c r="C11" s="234"/>
      <c r="D11" s="234"/>
      <c r="E11" s="235"/>
      <c r="F11" s="31"/>
      <c r="G11" s="31"/>
      <c r="H11" s="31"/>
      <c r="I11" s="31"/>
      <c r="J11" s="31"/>
      <c r="K11" s="31"/>
      <c r="L11" s="31"/>
      <c r="M11" s="31"/>
    </row>
    <row r="12" spans="1:13" ht="15" thickBot="1">
      <c r="A12" s="13"/>
      <c r="G12" s="32"/>
      <c r="H12" s="30"/>
      <c r="I12" s="30"/>
      <c r="J12" s="30"/>
      <c r="K12" s="30"/>
      <c r="L12" s="30"/>
      <c r="M12" s="30"/>
    </row>
    <row r="13" spans="1:13" ht="27" thickBot="1">
      <c r="A13" s="230" t="s">
        <v>330</v>
      </c>
      <c r="B13" s="231"/>
      <c r="C13" s="231"/>
      <c r="D13" s="231"/>
      <c r="E13" s="232"/>
      <c r="F13" s="33"/>
      <c r="G13" s="33"/>
      <c r="H13" s="33"/>
      <c r="I13" s="33"/>
      <c r="J13" s="33"/>
      <c r="K13" s="33"/>
      <c r="L13" s="33"/>
      <c r="M13" s="33"/>
    </row>
    <row r="14" spans="1:13">
      <c r="A14" s="12"/>
    </row>
    <row r="15" spans="1:13" ht="22">
      <c r="A15" s="60" t="s">
        <v>292</v>
      </c>
      <c r="B15" s="22">
        <v>1</v>
      </c>
    </row>
    <row r="16" spans="1:13" ht="21">
      <c r="A16" s="23"/>
      <c r="B16" s="24"/>
    </row>
    <row r="17" spans="1:5" ht="22">
      <c r="A17" s="21" t="s">
        <v>1</v>
      </c>
      <c r="B17" s="125">
        <f>(B18*E39)+E39</f>
        <v>13.959075428571429</v>
      </c>
    </row>
    <row r="18" spans="1:5" ht="22">
      <c r="A18" s="21" t="s">
        <v>2</v>
      </c>
      <c r="B18" s="26">
        <v>0.16</v>
      </c>
    </row>
    <row r="19" spans="1:5" ht="21">
      <c r="D19" s="53"/>
    </row>
    <row r="20" spans="1:5" ht="21" thickBot="1">
      <c r="A20" s="73" t="s">
        <v>294</v>
      </c>
      <c r="B20" s="13"/>
    </row>
    <row r="21" spans="1:5" ht="22" thickTop="1" thickBot="1">
      <c r="A21" s="74" t="s">
        <v>295</v>
      </c>
      <c r="B21" s="105"/>
    </row>
    <row r="22" spans="1:5" ht="21" thickTop="1">
      <c r="A22" s="74" t="s">
        <v>296</v>
      </c>
      <c r="B22" s="13"/>
    </row>
    <row r="23" spans="1:5" ht="20">
      <c r="A23" s="74" t="s">
        <v>297</v>
      </c>
      <c r="B23" s="11"/>
    </row>
    <row r="25" spans="1:5" ht="19">
      <c r="A25" s="62" t="s">
        <v>298</v>
      </c>
      <c r="B25" s="62" t="s">
        <v>326</v>
      </c>
    </row>
    <row r="26" spans="1:5" ht="22" thickBot="1">
      <c r="A26" s="27"/>
      <c r="B26" s="24"/>
    </row>
    <row r="27" spans="1:5" ht="45" thickBot="1">
      <c r="A27" s="28" t="s">
        <v>3</v>
      </c>
      <c r="B27" s="29" t="s">
        <v>94</v>
      </c>
      <c r="C27" s="29" t="s">
        <v>5</v>
      </c>
      <c r="D27" s="29" t="s">
        <v>4</v>
      </c>
      <c r="E27" s="55" t="s">
        <v>6</v>
      </c>
    </row>
    <row r="28" spans="1:5" ht="17">
      <c r="A28" s="8" t="s">
        <v>134</v>
      </c>
      <c r="B28" s="5" t="str">
        <f>_xlfn.XLOOKUP(Tableau5712314161820222432[[#This Row],[Article]],'Liste des fournisseurs'!$B$12:$B$307,'Liste des fournisseurs'!$C$12:$C$307,"")</f>
        <v>cl</v>
      </c>
      <c r="C28" s="20">
        <v>3</v>
      </c>
      <c r="D28" s="6">
        <f>_xlfn.XLOOKUP(Tableau5712314161820222432[[#This Row],[Article]],'Liste des fournisseurs'!$B$12:$B$307,'Liste des fournisseurs'!$F$12:$F$307,"")</f>
        <v>0.31428571428571428</v>
      </c>
      <c r="E28" s="7">
        <f>IFERROR(Tableau5712314161820222432[[#This Row],[Coût d''achat HT à l''unité]]*Tableau5712314161820222432[[#This Row],[Unités nécessaires]],"")</f>
        <v>0.94285714285714284</v>
      </c>
    </row>
    <row r="29" spans="1:5" ht="17">
      <c r="A29" s="8" t="s">
        <v>114</v>
      </c>
      <c r="B29" s="5" t="str">
        <f>_xlfn.XLOOKUP(Tableau5712314161820222432[[#This Row],[Article]],'Liste des fournisseurs'!$B$12:$B$307,'Liste des fournisseurs'!$C$12:$C$307,"")</f>
        <v>cl</v>
      </c>
      <c r="C29" s="20">
        <v>4</v>
      </c>
      <c r="D29" s="6">
        <f>_xlfn.XLOOKUP(Tableau5712314161820222432[[#This Row],[Article]],'Liste des fournisseurs'!$B$12:$B$307,'Liste des fournisseurs'!$F$12:$F$307,"")</f>
        <v>0.12</v>
      </c>
      <c r="E29" s="7">
        <f>IFERROR(Tableau5712314161820222432[[#This Row],[Coût d''achat HT à l''unité]]*Tableau5712314161820222432[[#This Row],[Unités nécessaires]],"")</f>
        <v>0.48</v>
      </c>
    </row>
    <row r="30" spans="1:5" ht="17">
      <c r="A30" s="8" t="s">
        <v>233</v>
      </c>
      <c r="B30" s="5" t="str">
        <f>_xlfn.XLOOKUP(Tableau5712314161820222432[[#This Row],[Article]],'Liste des fournisseurs'!$B$12:$B$307,'Liste des fournisseurs'!$C$12:$C$307,"")</f>
        <v>cl</v>
      </c>
      <c r="C30" s="20">
        <v>3</v>
      </c>
      <c r="D30" s="6">
        <f>_xlfn.XLOOKUP(Tableau5712314161820222432[[#This Row],[Article]],'Liste des fournisseurs'!$B$12:$B$307,'Liste des fournisseurs'!$F$12:$F$307,"")</f>
        <v>0.12014285714285715</v>
      </c>
      <c r="E30" s="7">
        <f>IFERROR(Tableau5712314161820222432[[#This Row],[Coût d''achat HT à l''unité]]*Tableau5712314161820222432[[#This Row],[Unités nécessaires]],"")</f>
        <v>0.36042857142857143</v>
      </c>
    </row>
    <row r="31" spans="1:5" ht="17">
      <c r="A31" s="8" t="s">
        <v>276</v>
      </c>
      <c r="B31" s="5" t="str">
        <f>_xlfn.XLOOKUP(Tableau5712314161820222432[[#This Row],[Article]],'Liste des fournisseurs'!$B$12:$B$307,'Liste des fournisseurs'!$C$12:$C$307,"")</f>
        <v>cl</v>
      </c>
      <c r="C31" s="20">
        <v>2</v>
      </c>
      <c r="D31" s="6">
        <f>_xlfn.XLOOKUP(Tableau5712314161820222432[[#This Row],[Article]],'Liste des fournisseurs'!$B$12:$B$307,'Liste des fournisseurs'!$F$12:$F$307,"")</f>
        <v>0.02</v>
      </c>
      <c r="E31" s="7">
        <f>IFERROR(Tableau5712314161820222432[[#This Row],[Coût d''achat HT à l''unité]]*Tableau5712314161820222432[[#This Row],[Unités nécessaires]],"")</f>
        <v>0.04</v>
      </c>
    </row>
    <row r="32" spans="1:5" ht="17">
      <c r="A32" s="112" t="s">
        <v>7</v>
      </c>
      <c r="B32" s="38"/>
      <c r="C32" s="38"/>
      <c r="D32" s="38"/>
      <c r="E32" s="113">
        <f>SUM(Tableau5712314161820222432[Prix de revient HT])</f>
        <v>1.8232857142857144</v>
      </c>
    </row>
    <row r="33" spans="1:5" ht="17">
      <c r="A33" s="112" t="s">
        <v>8</v>
      </c>
      <c r="B33" s="38"/>
      <c r="C33" s="38"/>
      <c r="D33" s="38"/>
      <c r="E33" s="113">
        <f>E32/B15</f>
        <v>1.8232857142857144</v>
      </c>
    </row>
    <row r="34" spans="1:5" ht="17">
      <c r="A34" s="112" t="s">
        <v>9</v>
      </c>
      <c r="B34" s="40">
        <v>0.2</v>
      </c>
      <c r="C34" s="38"/>
      <c r="D34" s="38"/>
      <c r="E34" s="113">
        <f>SUM(E28:E31)</f>
        <v>1.8232857142857144</v>
      </c>
    </row>
    <row r="35" spans="1:5" ht="17">
      <c r="A35" s="112" t="s">
        <v>10</v>
      </c>
      <c r="B35" s="38"/>
      <c r="C35" s="38"/>
      <c r="D35" s="38"/>
      <c r="E35" s="113">
        <f>E33+B34*E33</f>
        <v>2.1879428571428572</v>
      </c>
    </row>
    <row r="36" spans="1:5" ht="20">
      <c r="A36" s="114" t="s">
        <v>13</v>
      </c>
      <c r="B36" s="48"/>
      <c r="C36" s="48"/>
      <c r="D36" s="48"/>
      <c r="E36" s="115">
        <v>5.5</v>
      </c>
    </row>
    <row r="37" spans="1:5" ht="20">
      <c r="A37" s="51" t="s">
        <v>483</v>
      </c>
      <c r="B37" s="49"/>
      <c r="C37" s="49"/>
      <c r="D37" s="49"/>
      <c r="E37" s="116">
        <f>(E39-E35)/E39</f>
        <v>0.81818181818181812</v>
      </c>
    </row>
    <row r="38" spans="1:5" ht="20">
      <c r="A38" s="205" t="s">
        <v>484</v>
      </c>
      <c r="B38" s="206"/>
      <c r="C38" s="206"/>
      <c r="D38" s="206"/>
      <c r="E38" s="207" t="s">
        <v>482</v>
      </c>
    </row>
    <row r="39" spans="1:5" ht="19">
      <c r="A39" s="112" t="s">
        <v>11</v>
      </c>
      <c r="B39" s="14"/>
      <c r="C39" s="14"/>
      <c r="D39" s="14"/>
      <c r="E39" s="117">
        <f>E35*E36</f>
        <v>12.033685714285715</v>
      </c>
    </row>
    <row r="40" spans="1:5" ht="19">
      <c r="A40" s="112" t="s">
        <v>12</v>
      </c>
      <c r="B40" s="14"/>
      <c r="C40" s="14"/>
      <c r="D40" s="14"/>
      <c r="E40" s="117">
        <f>E39-E35</f>
        <v>9.8457428571428576</v>
      </c>
    </row>
    <row r="41" spans="1:5" ht="15" thickBot="1"/>
    <row r="42" spans="1:5" ht="26">
      <c r="A42" s="248" t="s">
        <v>301</v>
      </c>
      <c r="B42" s="249"/>
      <c r="C42" s="249"/>
      <c r="D42" s="249"/>
      <c r="E42" s="250"/>
    </row>
    <row r="43" spans="1:5" ht="19">
      <c r="A43" s="130" t="s">
        <v>331</v>
      </c>
      <c r="B43" s="54"/>
      <c r="C43" s="54"/>
      <c r="D43" s="54"/>
      <c r="E43" s="91"/>
    </row>
    <row r="44" spans="1:5" ht="19">
      <c r="A44" s="130" t="s">
        <v>334</v>
      </c>
      <c r="B44" s="54"/>
      <c r="C44" s="54"/>
      <c r="D44" s="54"/>
      <c r="E44" s="91"/>
    </row>
    <row r="45" spans="1:5" ht="19">
      <c r="A45" s="130" t="s">
        <v>335</v>
      </c>
      <c r="B45" s="54"/>
      <c r="C45" s="54"/>
      <c r="D45" s="54"/>
      <c r="E45" s="91"/>
    </row>
    <row r="46" spans="1:5" ht="19">
      <c r="A46" s="130" t="s">
        <v>332</v>
      </c>
      <c r="B46" s="54"/>
      <c r="C46" s="54"/>
      <c r="D46" s="54"/>
      <c r="E46" s="91"/>
    </row>
    <row r="47" spans="1:5" ht="19">
      <c r="A47" s="130" t="s">
        <v>333</v>
      </c>
      <c r="B47" s="54"/>
      <c r="C47" s="54"/>
      <c r="D47" s="54"/>
      <c r="E47" s="91"/>
    </row>
    <row r="48" spans="1:5" ht="19">
      <c r="A48" s="130" t="s">
        <v>336</v>
      </c>
      <c r="B48" s="54"/>
      <c r="C48" s="54"/>
      <c r="D48" s="54"/>
      <c r="E48" s="91"/>
    </row>
    <row r="49" spans="1:5" ht="20" thickBot="1">
      <c r="A49" s="139" t="s">
        <v>337</v>
      </c>
      <c r="B49" s="93"/>
      <c r="C49" s="93"/>
      <c r="D49" s="93"/>
      <c r="E49" s="94"/>
    </row>
    <row r="50" spans="1:5">
      <c r="A50" s="30"/>
    </row>
    <row r="51" spans="1:5">
      <c r="A51" s="30"/>
    </row>
    <row r="52" spans="1:5">
      <c r="A52" s="30"/>
    </row>
    <row r="53" spans="1:5">
      <c r="A53" s="30"/>
    </row>
    <row r="54" spans="1:5">
      <c r="A54" s="30"/>
    </row>
    <row r="55" spans="1:5">
      <c r="A55" s="30"/>
    </row>
  </sheetData>
  <mergeCells count="4">
    <mergeCell ref="A13:E13"/>
    <mergeCell ref="A11:E11"/>
    <mergeCell ref="A9:E9"/>
    <mergeCell ref="A42:E42"/>
  </mergeCells>
  <dataValidations count="1">
    <dataValidation type="list" allowBlank="1" showInputMessage="1" showErrorMessage="1" sqref="A11" xr:uid="{18620A6F-2072-DB4F-9EFC-FA1DE350BD08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61" orientation="portrait" horizontalDpi="0" verticalDpi="0"/>
  <colBreaks count="1" manualBreakCount="1">
    <brk id="6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975168-3CD7-9747-A861-FE49FE258216}">
          <x14:formula1>
            <xm:f>'Liste des fournisseurs'!$B$12:$B$307</xm:f>
          </x14:formula1>
          <xm:sqref>A28:A31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ABA0-88EB-514C-B604-24C0B7C0CEAF}">
  <sheetPr>
    <pageSetUpPr fitToPage="1"/>
  </sheetPr>
  <dimension ref="B8:N52"/>
  <sheetViews>
    <sheetView topLeftCell="A16" zoomScale="136" zoomScaleNormal="100" zoomScalePageLayoutView="50" workbookViewId="0">
      <selection activeCell="D18" sqref="D18"/>
    </sheetView>
  </sheetViews>
  <sheetFormatPr baseColWidth="10" defaultRowHeight="14"/>
  <cols>
    <col min="1" max="1" width="10.83203125" style="13" customWidth="1"/>
    <col min="2" max="2" width="45.33203125" style="9" customWidth="1"/>
    <col min="3" max="3" width="10.6640625" style="9" customWidth="1"/>
    <col min="4" max="4" width="19.83203125" style="9" bestFit="1" customWidth="1"/>
    <col min="5" max="5" width="28.5" style="9" bestFit="1" customWidth="1"/>
    <col min="6" max="6" width="28.83203125" style="106" bestFit="1" customWidth="1"/>
    <col min="7" max="7" width="10.83203125" style="66"/>
    <col min="8" max="8" width="20.1640625" style="13" bestFit="1" customWidth="1"/>
    <col min="9" max="16384" width="10.83203125" style="13"/>
  </cols>
  <sheetData>
    <row r="8" spans="2:14" ht="15" thickBot="1"/>
    <row r="9" spans="2:14" ht="27" thickBot="1">
      <c r="B9" s="242" t="s">
        <v>0</v>
      </c>
      <c r="C9" s="243"/>
      <c r="D9" s="243"/>
      <c r="E9" s="243"/>
      <c r="F9" s="244"/>
      <c r="G9" s="65"/>
      <c r="H9" s="65"/>
      <c r="I9" s="65"/>
      <c r="J9" s="65"/>
      <c r="K9" s="65"/>
      <c r="L9" s="65"/>
      <c r="M9" s="65"/>
      <c r="N9" s="65"/>
    </row>
    <row r="10" spans="2:14" ht="15" thickBot="1">
      <c r="B10" s="12"/>
      <c r="H10" s="66"/>
      <c r="I10" s="66"/>
      <c r="J10" s="66"/>
      <c r="K10" s="66"/>
      <c r="L10" s="66"/>
      <c r="M10" s="66"/>
      <c r="N10" s="66"/>
    </row>
    <row r="11" spans="2:14" ht="27" thickBot="1">
      <c r="B11" s="242" t="s">
        <v>274</v>
      </c>
      <c r="C11" s="243"/>
      <c r="D11" s="243"/>
      <c r="E11" s="243"/>
      <c r="F11" s="244"/>
      <c r="G11" s="65"/>
      <c r="H11" s="65"/>
      <c r="I11" s="65"/>
      <c r="J11" s="65"/>
      <c r="K11" s="65"/>
      <c r="L11" s="65"/>
      <c r="M11" s="65"/>
      <c r="N11" s="65"/>
    </row>
    <row r="12" spans="2:14" ht="15" thickBot="1">
      <c r="B12" s="13"/>
      <c r="H12" s="67"/>
      <c r="I12" s="66"/>
      <c r="J12" s="66"/>
      <c r="K12" s="66"/>
      <c r="L12" s="66"/>
      <c r="M12" s="66"/>
      <c r="N12" s="66"/>
    </row>
    <row r="13" spans="2:14" ht="27" thickBot="1">
      <c r="B13" s="239" t="s">
        <v>285</v>
      </c>
      <c r="C13" s="240"/>
      <c r="D13" s="240"/>
      <c r="E13" s="240"/>
      <c r="F13" s="241"/>
      <c r="G13" s="68"/>
      <c r="H13" s="68"/>
      <c r="I13" s="68"/>
      <c r="J13" s="68"/>
      <c r="K13" s="68"/>
      <c r="L13" s="68"/>
      <c r="M13" s="68"/>
      <c r="N13" s="68"/>
    </row>
    <row r="14" spans="2:14">
      <c r="B14" s="12"/>
    </row>
    <row r="15" spans="2:14" ht="22">
      <c r="B15" s="60" t="s">
        <v>292</v>
      </c>
      <c r="C15" s="69">
        <v>1</v>
      </c>
    </row>
    <row r="16" spans="2:14" ht="21">
      <c r="B16" s="23"/>
      <c r="C16" s="70"/>
    </row>
    <row r="17" spans="2:6" ht="22">
      <c r="B17" s="21" t="s">
        <v>1</v>
      </c>
      <c r="C17" s="125">
        <f>(C18*F38)+F38</f>
        <v>12.480274285714284</v>
      </c>
    </row>
    <row r="18" spans="2:6" ht="22">
      <c r="B18" s="21" t="s">
        <v>2</v>
      </c>
      <c r="C18" s="71">
        <v>0.16</v>
      </c>
    </row>
    <row r="19" spans="2:6" ht="21">
      <c r="B19" s="13"/>
      <c r="C19" s="13"/>
      <c r="E19" s="72"/>
    </row>
    <row r="20" spans="2:6" ht="21" thickBot="1">
      <c r="B20" s="73" t="s">
        <v>294</v>
      </c>
      <c r="C20" s="13"/>
    </row>
    <row r="21" spans="2:6" ht="22" thickTop="1" thickBot="1">
      <c r="B21" s="74" t="s">
        <v>295</v>
      </c>
      <c r="C21" s="105"/>
    </row>
    <row r="22" spans="2:6" ht="21" thickTop="1">
      <c r="B22" s="74" t="s">
        <v>296</v>
      </c>
      <c r="C22" s="13"/>
    </row>
    <row r="23" spans="2:6" ht="20">
      <c r="B23" s="74" t="s">
        <v>297</v>
      </c>
    </row>
    <row r="24" spans="2:6">
      <c r="C24" s="10"/>
    </row>
    <row r="25" spans="2:6" ht="19">
      <c r="B25" s="62" t="s">
        <v>298</v>
      </c>
      <c r="C25" s="62" t="s">
        <v>326</v>
      </c>
    </row>
    <row r="26" spans="2:6" ht="15" thickBot="1">
      <c r="B26" s="12"/>
    </row>
    <row r="27" spans="2:6" ht="45" thickBot="1">
      <c r="B27" s="28" t="s">
        <v>3</v>
      </c>
      <c r="C27" s="29" t="s">
        <v>94</v>
      </c>
      <c r="D27" s="29" t="s">
        <v>5</v>
      </c>
      <c r="E27" s="29" t="s">
        <v>4</v>
      </c>
      <c r="F27" s="55" t="s">
        <v>6</v>
      </c>
    </row>
    <row r="28" spans="2:6" ht="17">
      <c r="B28" s="8" t="s">
        <v>170</v>
      </c>
      <c r="C28" s="75" t="str">
        <f>_xlfn.XLOOKUP(Tableau571231416182022243234[[#This Row],[Article]],'Liste des fournisseurs'!$B$12:$B$307,'Liste des fournisseurs'!$C$12:$C$307,"")</f>
        <v>cl</v>
      </c>
      <c r="D28" s="76">
        <v>6</v>
      </c>
      <c r="E28" s="77">
        <f>_xlfn.XLOOKUP(Tableau571231416182022243234[[#This Row],[Article]],'Liste des fournisseurs'!$B$12:$B$307,'Liste des fournisseurs'!$F$12:$F$307,"")</f>
        <v>0.17857142857142858</v>
      </c>
      <c r="F28" s="78">
        <f>IFERROR(Tableau571231416182022243234[[#This Row],[Coût d''achat HT à l''unité]]*Tableau571231416182022243234[[#This Row],[Unités nécessaires]],"")</f>
        <v>1.0714285714285714</v>
      </c>
    </row>
    <row r="29" spans="2:6" ht="17">
      <c r="B29" s="8" t="s">
        <v>241</v>
      </c>
      <c r="C29" s="75" t="str">
        <f>_xlfn.XLOOKUP(Tableau571231416182022243234[[#This Row],[Article]],'Liste des fournisseurs'!$B$12:$B$307,'Liste des fournisseurs'!$C$12:$C$307,"")</f>
        <v>cl</v>
      </c>
      <c r="D29" s="76">
        <v>2</v>
      </c>
      <c r="E29" s="77">
        <f>_xlfn.XLOOKUP(Tableau571231416182022243234[[#This Row],[Article]],'Liste des fournisseurs'!$B$12:$B$307,'Liste des fournisseurs'!$F$12:$F$307,"")</f>
        <v>0.17142857142857143</v>
      </c>
      <c r="F29" s="78">
        <f>IFERROR(Tableau571231416182022243234[[#This Row],[Coût d''achat HT à l''unité]]*Tableau571231416182022243234[[#This Row],[Unités nécessaires]],"")</f>
        <v>0.34285714285714286</v>
      </c>
    </row>
    <row r="30" spans="2:6" ht="17">
      <c r="B30" s="8" t="s">
        <v>276</v>
      </c>
      <c r="C30" s="75" t="str">
        <f>_xlfn.XLOOKUP(Tableau571231416182022243234[[#This Row],[Article]],'Liste des fournisseurs'!$B$12:$B$307,'Liste des fournisseurs'!$C$12:$C$307,"")</f>
        <v>cl</v>
      </c>
      <c r="D30" s="76">
        <v>4</v>
      </c>
      <c r="E30" s="77">
        <f>_xlfn.XLOOKUP(Tableau571231416182022243234[[#This Row],[Article]],'Liste des fournisseurs'!$B$12:$B$307,'Liste des fournisseurs'!$F$12:$F$307,"")</f>
        <v>0.02</v>
      </c>
      <c r="F30" s="78">
        <f>IFERROR(Tableau571231416182022243234[[#This Row],[Coût d''achat HT à l''unité]]*Tableau571231416182022243234[[#This Row],[Unités nécessaires]],"")</f>
        <v>0.08</v>
      </c>
    </row>
    <row r="31" spans="2:6" ht="17">
      <c r="B31" s="34" t="s">
        <v>7</v>
      </c>
      <c r="C31" s="79"/>
      <c r="D31" s="79"/>
      <c r="E31" s="79"/>
      <c r="F31" s="107">
        <f>SUM(Tableau571231416182022243234[Prix de revient HT])</f>
        <v>1.4942857142857142</v>
      </c>
    </row>
    <row r="32" spans="2:6" ht="17">
      <c r="B32" s="37" t="s">
        <v>8</v>
      </c>
      <c r="C32" s="81"/>
      <c r="D32" s="81"/>
      <c r="E32" s="81"/>
      <c r="F32" s="108">
        <f>F31/C15</f>
        <v>1.4942857142857142</v>
      </c>
    </row>
    <row r="33" spans="2:6" ht="17">
      <c r="B33" s="37" t="s">
        <v>9</v>
      </c>
      <c r="C33" s="83">
        <v>0.2</v>
      </c>
      <c r="D33" s="81"/>
      <c r="E33" s="81"/>
      <c r="F33" s="108">
        <f>SUM(F28:F30)</f>
        <v>1.4942857142857142</v>
      </c>
    </row>
    <row r="34" spans="2:6" ht="17">
      <c r="B34" s="37" t="s">
        <v>10</v>
      </c>
      <c r="C34" s="81"/>
      <c r="D34" s="81"/>
      <c r="E34" s="81"/>
      <c r="F34" s="108">
        <f>F32+C33*F32</f>
        <v>1.7931428571428571</v>
      </c>
    </row>
    <row r="35" spans="2:6" ht="20">
      <c r="B35" s="50" t="s">
        <v>13</v>
      </c>
      <c r="C35" s="84"/>
      <c r="D35" s="84"/>
      <c r="E35" s="84"/>
      <c r="F35" s="109">
        <v>6</v>
      </c>
    </row>
    <row r="36" spans="2:6" ht="20">
      <c r="B36" s="51" t="s">
        <v>483</v>
      </c>
      <c r="C36" s="86"/>
      <c r="D36" s="86"/>
      <c r="E36" s="86"/>
      <c r="F36" s="116">
        <f>(F38-F34)/F38</f>
        <v>0.83333333333333326</v>
      </c>
    </row>
    <row r="37" spans="2:6" ht="20">
      <c r="B37" s="205" t="s">
        <v>484</v>
      </c>
      <c r="C37" s="206"/>
      <c r="D37" s="206"/>
      <c r="E37" s="206"/>
      <c r="F37" s="207" t="s">
        <v>482</v>
      </c>
    </row>
    <row r="38" spans="2:6" ht="19">
      <c r="B38" s="37" t="s">
        <v>11</v>
      </c>
      <c r="C38" s="87"/>
      <c r="D38" s="87"/>
      <c r="E38" s="87"/>
      <c r="F38" s="110">
        <f>F34*F35</f>
        <v>10.758857142857142</v>
      </c>
    </row>
    <row r="39" spans="2:6" ht="20" thickBot="1">
      <c r="B39" s="41" t="s">
        <v>12</v>
      </c>
      <c r="C39" s="89"/>
      <c r="D39" s="89"/>
      <c r="E39" s="89"/>
      <c r="F39" s="111">
        <f>F38-F34</f>
        <v>8.9657142857142844</v>
      </c>
    </row>
    <row r="40" spans="2:6" ht="15" thickBot="1"/>
    <row r="41" spans="2:6" ht="26">
      <c r="B41" s="248" t="s">
        <v>301</v>
      </c>
      <c r="C41" s="249"/>
      <c r="D41" s="249"/>
      <c r="E41" s="249"/>
      <c r="F41" s="250"/>
    </row>
    <row r="42" spans="2:6" ht="19">
      <c r="B42" s="130" t="s">
        <v>365</v>
      </c>
      <c r="C42" s="54"/>
      <c r="D42" s="54"/>
      <c r="E42" s="54"/>
      <c r="F42" s="91"/>
    </row>
    <row r="43" spans="2:6" ht="19">
      <c r="B43" s="151" t="s">
        <v>328</v>
      </c>
      <c r="C43" s="54"/>
      <c r="D43" s="54"/>
      <c r="E43" s="54"/>
      <c r="F43" s="91"/>
    </row>
    <row r="44" spans="2:6" ht="19">
      <c r="B44" s="130" t="s">
        <v>327</v>
      </c>
      <c r="C44" s="54"/>
      <c r="D44" s="54"/>
      <c r="E44" s="54"/>
      <c r="F44" s="91"/>
    </row>
    <row r="45" spans="2:6" ht="20" thickBot="1">
      <c r="B45" s="139" t="s">
        <v>329</v>
      </c>
      <c r="C45" s="93"/>
      <c r="D45" s="93"/>
      <c r="E45" s="93"/>
      <c r="F45" s="94"/>
    </row>
    <row r="46" spans="2:6" ht="19">
      <c r="B46" s="103"/>
      <c r="C46" s="54"/>
      <c r="D46" s="54"/>
      <c r="E46" s="54"/>
      <c r="F46" s="54"/>
    </row>
    <row r="47" spans="2:6" ht="19">
      <c r="B47" s="103"/>
      <c r="C47" s="54"/>
      <c r="D47" s="54"/>
      <c r="E47" s="54"/>
      <c r="F47" s="54"/>
    </row>
    <row r="48" spans="2:6">
      <c r="B48" s="66"/>
    </row>
    <row r="49" spans="2:2">
      <c r="B49" s="66"/>
    </row>
    <row r="50" spans="2:2">
      <c r="B50" s="66"/>
    </row>
    <row r="51" spans="2:2">
      <c r="B51" s="66"/>
    </row>
    <row r="52" spans="2:2">
      <c r="B52" s="66"/>
    </row>
  </sheetData>
  <mergeCells count="4">
    <mergeCell ref="B13:F13"/>
    <mergeCell ref="B11:F11"/>
    <mergeCell ref="B9:F9"/>
    <mergeCell ref="B41:F41"/>
  </mergeCells>
  <dataValidations disablePrompts="1" count="1">
    <dataValidation type="list" allowBlank="1" showInputMessage="1" showErrorMessage="1" sqref="B11" xr:uid="{0A950E01-E1D9-314D-8AE3-19BA50DC5B73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62" orientation="portrait" horizontalDpi="0" verticalDpi="0"/>
  <colBreaks count="1" manualBreakCount="1">
    <brk id="7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46ECDD5-FA7D-E449-B12D-BA8AC561B5B2}">
          <x14:formula1>
            <xm:f>'Liste des fournisseurs'!$B$12:$B$307</xm:f>
          </x14:formula1>
          <xm:sqref>B28:B30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273A-0B58-2742-99E0-E118F8FAAAA7}">
  <sheetPr>
    <pageSetUpPr fitToPage="1"/>
  </sheetPr>
  <dimension ref="B7:N48"/>
  <sheetViews>
    <sheetView topLeftCell="A12" zoomScale="116" zoomScaleNormal="83" workbookViewId="0">
      <selection activeCell="F35" sqref="F35"/>
    </sheetView>
  </sheetViews>
  <sheetFormatPr baseColWidth="10" defaultRowHeight="14"/>
  <cols>
    <col min="1" max="1" width="10.83203125" style="11"/>
    <col min="2" max="2" width="51.1640625" style="9" bestFit="1" customWidth="1"/>
    <col min="3" max="3" width="8.83203125" style="10" customWidth="1"/>
    <col min="4" max="4" width="19.5" style="10" bestFit="1" customWidth="1"/>
    <col min="5" max="5" width="26" style="10" bestFit="1" customWidth="1"/>
    <col min="6" max="6" width="23.33203125" style="54" bestFit="1" customWidth="1"/>
    <col min="7" max="7" width="10.83203125" style="30"/>
    <col min="8" max="8" width="20.1640625" style="11" bestFit="1" customWidth="1"/>
    <col min="9" max="16384" width="10.83203125" style="11"/>
  </cols>
  <sheetData>
    <row r="7" spans="2:14" ht="15" thickBot="1"/>
    <row r="8" spans="2:14" ht="27" thickBot="1">
      <c r="B8" s="233" t="s">
        <v>0</v>
      </c>
      <c r="C8" s="234"/>
      <c r="D8" s="234"/>
      <c r="E8" s="234"/>
      <c r="F8" s="235"/>
      <c r="G8" s="31"/>
      <c r="H8" s="31"/>
      <c r="I8" s="31"/>
      <c r="J8" s="31"/>
      <c r="K8" s="31"/>
      <c r="L8" s="31"/>
      <c r="M8" s="31"/>
      <c r="N8" s="31"/>
    </row>
    <row r="9" spans="2:14" ht="15" thickBot="1">
      <c r="B9" s="12"/>
      <c r="H9" s="30"/>
      <c r="I9" s="30"/>
      <c r="J9" s="30"/>
      <c r="K9" s="30"/>
      <c r="L9" s="30"/>
      <c r="M9" s="30"/>
      <c r="N9" s="30"/>
    </row>
    <row r="10" spans="2:14" ht="27" thickBot="1">
      <c r="B10" s="233" t="s">
        <v>274</v>
      </c>
      <c r="C10" s="234"/>
      <c r="D10" s="234"/>
      <c r="E10" s="234"/>
      <c r="F10" s="235"/>
      <c r="G10" s="31"/>
      <c r="H10" s="31"/>
      <c r="I10" s="31"/>
      <c r="J10" s="31"/>
      <c r="K10" s="31"/>
      <c r="L10" s="31"/>
      <c r="M10" s="31"/>
      <c r="N10" s="31"/>
    </row>
    <row r="11" spans="2:14" ht="15" thickBot="1">
      <c r="B11" s="13"/>
      <c r="H11" s="32"/>
      <c r="I11" s="30"/>
      <c r="J11" s="30"/>
      <c r="K11" s="30"/>
      <c r="L11" s="30"/>
      <c r="M11" s="30"/>
      <c r="N11" s="30"/>
    </row>
    <row r="12" spans="2:14" ht="27" thickBot="1">
      <c r="B12" s="230" t="s">
        <v>286</v>
      </c>
      <c r="C12" s="231"/>
      <c r="D12" s="231"/>
      <c r="E12" s="231"/>
      <c r="F12" s="232"/>
      <c r="G12" s="33"/>
      <c r="H12" s="33"/>
      <c r="I12" s="33"/>
      <c r="J12" s="33"/>
      <c r="K12" s="33"/>
      <c r="L12" s="33"/>
      <c r="M12" s="33"/>
      <c r="N12" s="33"/>
    </row>
    <row r="13" spans="2:14">
      <c r="B13" s="12"/>
    </row>
    <row r="14" spans="2:14" ht="22">
      <c r="B14" s="60" t="s">
        <v>292</v>
      </c>
      <c r="C14" s="22">
        <v>1</v>
      </c>
    </row>
    <row r="15" spans="2:14" ht="21">
      <c r="B15" s="23"/>
      <c r="C15" s="24"/>
    </row>
    <row r="16" spans="2:14" ht="22">
      <c r="B16" s="21" t="s">
        <v>1</v>
      </c>
      <c r="C16" s="25">
        <f>(C17*F37)+F37</f>
        <v>10.083846857142857</v>
      </c>
    </row>
    <row r="17" spans="2:6" ht="22">
      <c r="B17" s="21" t="s">
        <v>2</v>
      </c>
      <c r="C17" s="26">
        <v>0.16</v>
      </c>
    </row>
    <row r="18" spans="2:6">
      <c r="B18" s="11"/>
      <c r="C18" s="11"/>
    </row>
    <row r="19" spans="2:6" ht="21">
      <c r="B19" s="73" t="s">
        <v>294</v>
      </c>
      <c r="C19" s="13"/>
      <c r="E19" s="53"/>
    </row>
    <row r="20" spans="2:6" ht="20">
      <c r="B20" s="74" t="s">
        <v>295</v>
      </c>
      <c r="C20" s="11"/>
    </row>
    <row r="21" spans="2:6" ht="21" thickBot="1">
      <c r="B21" s="74" t="s">
        <v>296</v>
      </c>
      <c r="C21" s="13"/>
    </row>
    <row r="22" spans="2:6" ht="22" thickTop="1" thickBot="1">
      <c r="B22" s="74" t="s">
        <v>297</v>
      </c>
      <c r="C22" s="105"/>
    </row>
    <row r="23" spans="2:6" ht="15" thickTop="1"/>
    <row r="24" spans="2:6" ht="19">
      <c r="B24" s="62" t="s">
        <v>298</v>
      </c>
      <c r="C24" s="62" t="s">
        <v>344</v>
      </c>
    </row>
    <row r="25" spans="2:6" ht="15" thickBot="1"/>
    <row r="26" spans="2:6" ht="45" thickBot="1">
      <c r="B26" s="28" t="s">
        <v>3</v>
      </c>
      <c r="C26" s="29" t="s">
        <v>94</v>
      </c>
      <c r="D26" s="29" t="s">
        <v>5</v>
      </c>
      <c r="E26" s="29" t="s">
        <v>4</v>
      </c>
      <c r="F26" s="55" t="s">
        <v>6</v>
      </c>
    </row>
    <row r="27" spans="2:6" ht="17">
      <c r="B27" s="8" t="s">
        <v>244</v>
      </c>
      <c r="C27" s="5" t="str">
        <f>_xlfn.XLOOKUP(Tableau57123141618202224323436[[#This Row],[Article]],'Liste des fournisseurs'!$B$12:$B$307,'Liste des fournisseurs'!$C$12:$C$307,"")</f>
        <v>cl</v>
      </c>
      <c r="D27" s="20">
        <v>9</v>
      </c>
      <c r="E27" s="6">
        <f>_xlfn.XLOOKUP(Tableau57123141618202224323436[[#This Row],[Article]],'Liste des fournisseurs'!$B$12:$B$307,'Liste des fournisseurs'!$F$12:$F$307,"")</f>
        <v>2.86E-2</v>
      </c>
      <c r="F27" s="7">
        <f>IFERROR(Tableau57123141618202224323436[[#This Row],[Coût d''achat HT à l''unité]]*Tableau57123141618202224323436[[#This Row],[Unités nécessaires]],"")</f>
        <v>0.25740000000000002</v>
      </c>
    </row>
    <row r="28" spans="2:6" ht="17">
      <c r="B28" s="8" t="s">
        <v>125</v>
      </c>
      <c r="C28" s="5" t="str">
        <f>_xlfn.XLOOKUP(Tableau57123141618202224323436[[#This Row],[Article]],'Liste des fournisseurs'!$B$12:$B$307,'Liste des fournisseurs'!$C$12:$C$307,"")</f>
        <v>cl</v>
      </c>
      <c r="D28" s="20">
        <v>4.5</v>
      </c>
      <c r="E28" s="6">
        <f>_xlfn.XLOOKUP(Tableau57123141618202224323436[[#This Row],[Article]],'Liste des fournisseurs'!$B$12:$B$307,'Liste des fournisseurs'!$F$12:$F$307,"")</f>
        <v>0.22666666666666666</v>
      </c>
      <c r="F28" s="7">
        <f>IFERROR(Tableau57123141618202224323436[[#This Row],[Coût d''achat HT à l''unité]]*Tableau57123141618202224323436[[#This Row],[Unités nécessaires]],"")</f>
        <v>1.02</v>
      </c>
    </row>
    <row r="29" spans="2:6" ht="17">
      <c r="B29" s="8" t="s">
        <v>235</v>
      </c>
      <c r="C29" s="5" t="str">
        <f>_xlfn.XLOOKUP(Tableau57123141618202224323436[[#This Row],[Article]],'Liste des fournisseurs'!$B$12:$B$307,'Liste des fournisseurs'!$C$12:$C$307,"")</f>
        <v>cl</v>
      </c>
      <c r="D29" s="20">
        <v>1.5</v>
      </c>
      <c r="E29" s="6">
        <f>_xlfn.XLOOKUP(Tableau57123141618202224323436[[#This Row],[Article]],'Liste des fournisseurs'!$B$12:$B$307,'Liste des fournisseurs'!$F$12:$F$307,"")</f>
        <v>0.11428571428571428</v>
      </c>
      <c r="F29" s="7">
        <f>IFERROR(Tableau57123141618202224323436[[#This Row],[Coût d''achat HT à l''unité]]*Tableau57123141618202224323436[[#This Row],[Unités nécessaires]],"")</f>
        <v>0.17142857142857143</v>
      </c>
    </row>
    <row r="30" spans="2:6" ht="17">
      <c r="B30" s="34" t="s">
        <v>7</v>
      </c>
      <c r="C30" s="35"/>
      <c r="D30" s="35"/>
      <c r="E30" s="35"/>
      <c r="F30" s="56">
        <f>SUM(Tableau57123141618202224323436[Prix de revient HT])</f>
        <v>1.4488285714285716</v>
      </c>
    </row>
    <row r="31" spans="2:6" ht="17">
      <c r="B31" s="37" t="s">
        <v>8</v>
      </c>
      <c r="C31" s="38"/>
      <c r="D31" s="38"/>
      <c r="E31" s="38"/>
      <c r="F31" s="57">
        <f>F30/C14</f>
        <v>1.4488285714285716</v>
      </c>
    </row>
    <row r="32" spans="2:6" ht="17">
      <c r="B32" s="37" t="s">
        <v>9</v>
      </c>
      <c r="C32" s="40">
        <v>0.2</v>
      </c>
      <c r="D32" s="38"/>
      <c r="E32" s="38"/>
      <c r="F32" s="57">
        <f>SUM(F27:F29)</f>
        <v>1.4488285714285716</v>
      </c>
    </row>
    <row r="33" spans="2:9" ht="17">
      <c r="B33" s="37" t="s">
        <v>10</v>
      </c>
      <c r="C33" s="38"/>
      <c r="D33" s="38"/>
      <c r="E33" s="38"/>
      <c r="F33" s="57">
        <f>F31+C32*F31</f>
        <v>1.738594285714286</v>
      </c>
    </row>
    <row r="34" spans="2:9" ht="20">
      <c r="B34" s="114" t="s">
        <v>13</v>
      </c>
      <c r="C34" s="48"/>
      <c r="D34" s="48"/>
      <c r="E34" s="48"/>
      <c r="F34" s="115">
        <v>5</v>
      </c>
    </row>
    <row r="35" spans="2:9" ht="20">
      <c r="B35" s="51" t="s">
        <v>483</v>
      </c>
      <c r="C35" s="49"/>
      <c r="D35" s="49"/>
      <c r="E35" s="49"/>
      <c r="F35" s="116">
        <f>(F37-F33)/F37</f>
        <v>0.79999999999999993</v>
      </c>
    </row>
    <row r="36" spans="2:9" ht="20">
      <c r="B36" s="205" t="s">
        <v>484</v>
      </c>
      <c r="C36" s="208"/>
      <c r="D36" s="208"/>
      <c r="E36" s="208"/>
      <c r="F36" s="209" t="s">
        <v>482</v>
      </c>
    </row>
    <row r="37" spans="2:9" ht="19">
      <c r="B37" s="37" t="s">
        <v>11</v>
      </c>
      <c r="C37" s="14"/>
      <c r="D37" s="14"/>
      <c r="E37" s="14"/>
      <c r="F37" s="58">
        <f>F33*F34</f>
        <v>8.692971428571429</v>
      </c>
    </row>
    <row r="38" spans="2:9" ht="20" thickBot="1">
      <c r="B38" s="41" t="s">
        <v>12</v>
      </c>
      <c r="C38" s="18"/>
      <c r="D38" s="18"/>
      <c r="E38" s="18"/>
      <c r="F38" s="59">
        <f>F37-F33</f>
        <v>6.954377142857143</v>
      </c>
    </row>
    <row r="39" spans="2:9" ht="15" thickBot="1"/>
    <row r="40" spans="2:9" ht="26">
      <c r="B40" s="248" t="s">
        <v>301</v>
      </c>
      <c r="C40" s="249"/>
      <c r="D40" s="249"/>
      <c r="E40" s="249"/>
      <c r="F40" s="250"/>
      <c r="I40" s="104"/>
    </row>
    <row r="41" spans="2:9" ht="16">
      <c r="B41" s="131" t="s">
        <v>321</v>
      </c>
      <c r="C41" s="141"/>
      <c r="D41" s="141"/>
      <c r="E41" s="141"/>
      <c r="F41" s="142"/>
    </row>
    <row r="42" spans="2:9" ht="16">
      <c r="B42" s="131" t="s">
        <v>323</v>
      </c>
      <c r="C42" s="141"/>
      <c r="D42" s="141"/>
      <c r="E42" s="141"/>
      <c r="F42" s="142"/>
    </row>
    <row r="43" spans="2:9" ht="16">
      <c r="B43" s="131" t="s">
        <v>322</v>
      </c>
      <c r="C43" s="141"/>
      <c r="D43" s="141"/>
      <c r="E43" s="141"/>
      <c r="F43" s="142"/>
    </row>
    <row r="44" spans="2:9" ht="16">
      <c r="B44" s="131" t="s">
        <v>325</v>
      </c>
      <c r="C44" s="141"/>
      <c r="D44" s="141"/>
      <c r="E44" s="141"/>
      <c r="F44" s="142"/>
    </row>
    <row r="45" spans="2:9" ht="16">
      <c r="B45" s="131" t="s">
        <v>324</v>
      </c>
      <c r="C45" s="141"/>
      <c r="D45" s="141"/>
      <c r="E45" s="141"/>
      <c r="F45" s="142"/>
    </row>
    <row r="46" spans="2:9" ht="17" thickBot="1">
      <c r="B46" s="135"/>
      <c r="C46" s="144"/>
      <c r="D46" s="144"/>
      <c r="E46" s="144"/>
      <c r="F46" s="145"/>
    </row>
    <row r="47" spans="2:9">
      <c r="B47" s="30"/>
      <c r="C47" s="54"/>
      <c r="D47" s="54"/>
      <c r="E47" s="54"/>
    </row>
    <row r="48" spans="2:9">
      <c r="B48" s="30"/>
    </row>
  </sheetData>
  <mergeCells count="4">
    <mergeCell ref="B12:F12"/>
    <mergeCell ref="B10:F10"/>
    <mergeCell ref="B8:F8"/>
    <mergeCell ref="B40:F40"/>
  </mergeCells>
  <dataValidations count="1">
    <dataValidation type="list" allowBlank="1" showInputMessage="1" showErrorMessage="1" sqref="B10" xr:uid="{1C375201-79DE-144E-B58D-F8B2FF1BA6EF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63" orientation="portrait" horizontalDpi="0" verticalDpi="0"/>
  <colBreaks count="2" manualBreakCount="2">
    <brk id="1" max="58" man="1"/>
    <brk id="7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65B735-F135-8F47-9869-70CDDA7FC6E9}">
          <x14:formula1>
            <xm:f>'Liste des fournisseurs'!$B$12:$B$307</xm:f>
          </x14:formula1>
          <xm:sqref>B27:B29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517-2971-BE4A-B74A-B828AB8B016F}">
  <sheetPr>
    <pageSetUpPr fitToPage="1"/>
  </sheetPr>
  <dimension ref="B5:N58"/>
  <sheetViews>
    <sheetView topLeftCell="A12" zoomScale="180" zoomScaleNormal="91" zoomScalePageLayoutView="59" workbookViewId="0">
      <selection activeCell="F38" sqref="F38"/>
    </sheetView>
  </sheetViews>
  <sheetFormatPr baseColWidth="10" defaultRowHeight="14"/>
  <cols>
    <col min="1" max="1" width="10.83203125" style="11"/>
    <col min="2" max="2" width="50.1640625" style="9" customWidth="1"/>
    <col min="3" max="3" width="10.1640625" style="10" customWidth="1"/>
    <col min="4" max="4" width="19.5" style="10" bestFit="1" customWidth="1"/>
    <col min="5" max="5" width="21.6640625" style="10" bestFit="1" customWidth="1"/>
    <col min="6" max="6" width="14.5" style="10" customWidth="1"/>
    <col min="7" max="7" width="10.83203125" style="11"/>
    <col min="8" max="8" width="20.1640625" style="11" bestFit="1" customWidth="1"/>
    <col min="9" max="16384" width="10.83203125" style="11"/>
  </cols>
  <sheetData>
    <row r="5" spans="2:14">
      <c r="G5" s="30"/>
    </row>
    <row r="6" spans="2:14" ht="15" thickBot="1">
      <c r="G6" s="30"/>
    </row>
    <row r="7" spans="2:14" ht="27" thickBot="1">
      <c r="B7" s="233" t="s">
        <v>0</v>
      </c>
      <c r="C7" s="234"/>
      <c r="D7" s="234"/>
      <c r="E7" s="234"/>
      <c r="F7" s="235"/>
      <c r="G7" s="31"/>
      <c r="H7" s="31"/>
      <c r="I7" s="31"/>
      <c r="J7" s="31"/>
      <c r="K7" s="31"/>
      <c r="L7" s="31"/>
      <c r="M7" s="31"/>
      <c r="N7" s="31"/>
    </row>
    <row r="8" spans="2:14" ht="15" thickBot="1">
      <c r="B8" s="12"/>
      <c r="G8" s="30"/>
      <c r="H8" s="30"/>
      <c r="I8" s="30"/>
      <c r="J8" s="30"/>
      <c r="K8" s="30"/>
      <c r="L8" s="30"/>
      <c r="M8" s="30"/>
      <c r="N8" s="30"/>
    </row>
    <row r="9" spans="2:14" ht="27" thickBot="1">
      <c r="B9" s="233" t="s">
        <v>274</v>
      </c>
      <c r="C9" s="234"/>
      <c r="D9" s="234"/>
      <c r="E9" s="234"/>
      <c r="F9" s="235"/>
      <c r="G9" s="31"/>
      <c r="H9" s="31"/>
      <c r="I9" s="31"/>
      <c r="J9" s="31"/>
      <c r="K9" s="31"/>
      <c r="L9" s="31"/>
      <c r="M9" s="31"/>
      <c r="N9" s="31"/>
    </row>
    <row r="10" spans="2:14" ht="15" thickBot="1">
      <c r="B10" s="13"/>
      <c r="G10" s="30"/>
      <c r="H10" s="32"/>
      <c r="I10" s="30"/>
      <c r="J10" s="30"/>
      <c r="K10" s="30"/>
      <c r="L10" s="30"/>
      <c r="M10" s="30"/>
      <c r="N10" s="30"/>
    </row>
    <row r="11" spans="2:14" ht="27" thickBot="1">
      <c r="B11" s="230" t="s">
        <v>288</v>
      </c>
      <c r="C11" s="231"/>
      <c r="D11" s="231"/>
      <c r="E11" s="231"/>
      <c r="F11" s="232"/>
      <c r="G11" s="33"/>
      <c r="H11" s="33"/>
      <c r="I11" s="33"/>
      <c r="J11" s="33"/>
      <c r="K11" s="33"/>
      <c r="L11" s="33"/>
      <c r="M11" s="33"/>
      <c r="N11" s="33"/>
    </row>
    <row r="12" spans="2:14" ht="26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spans="2:14" ht="22">
      <c r="B13" s="60" t="s">
        <v>292</v>
      </c>
      <c r="C13" s="22">
        <v>1</v>
      </c>
      <c r="G13" s="30"/>
    </row>
    <row r="14" spans="2:14" ht="21">
      <c r="B14" s="23"/>
      <c r="C14" s="24"/>
      <c r="G14" s="30"/>
    </row>
    <row r="15" spans="2:14" ht="22">
      <c r="B15" s="21" t="s">
        <v>1</v>
      </c>
      <c r="C15" s="25">
        <f>(C16*F40)+F40</f>
        <v>17.868602337662338</v>
      </c>
      <c r="E15" s="53"/>
      <c r="G15" s="30"/>
    </row>
    <row r="16" spans="2:14" ht="22">
      <c r="B16" s="21" t="s">
        <v>2</v>
      </c>
      <c r="C16" s="26">
        <v>0.16</v>
      </c>
      <c r="G16" s="30"/>
    </row>
    <row r="18" spans="2:6" ht="20">
      <c r="B18" s="73" t="s">
        <v>294</v>
      </c>
      <c r="C18" s="13"/>
    </row>
    <row r="19" spans="2:6" ht="20">
      <c r="B19" s="74" t="s">
        <v>295</v>
      </c>
      <c r="C19" s="11"/>
    </row>
    <row r="20" spans="2:6" ht="21" thickBot="1">
      <c r="B20" s="74" t="s">
        <v>296</v>
      </c>
      <c r="C20" s="13"/>
    </row>
    <row r="21" spans="2:6" ht="22" thickTop="1" thickBot="1">
      <c r="B21" s="74" t="s">
        <v>297</v>
      </c>
      <c r="C21" s="105"/>
    </row>
    <row r="22" spans="2:6" ht="20" thickTop="1">
      <c r="B22" s="74"/>
      <c r="C22" s="13"/>
    </row>
    <row r="23" spans="2:6" ht="19">
      <c r="B23" s="62" t="s">
        <v>298</v>
      </c>
      <c r="C23" s="62" t="s">
        <v>313</v>
      </c>
    </row>
    <row r="24" spans="2:6" ht="15" thickBot="1">
      <c r="B24" s="12"/>
    </row>
    <row r="25" spans="2:6" ht="45" thickBot="1">
      <c r="B25" s="28" t="s">
        <v>3</v>
      </c>
      <c r="C25" s="29" t="s">
        <v>94</v>
      </c>
      <c r="D25" s="29" t="s">
        <v>5</v>
      </c>
      <c r="E25" s="29" t="s">
        <v>4</v>
      </c>
      <c r="F25" s="29" t="s">
        <v>6</v>
      </c>
    </row>
    <row r="26" spans="2:6" ht="17">
      <c r="B26" s="8" t="s">
        <v>170</v>
      </c>
      <c r="C26" s="5" t="str">
        <f>_xlfn.XLOOKUP(Tableau571231416182022243234362[[#This Row],[Article]],'Liste des fournisseurs'!$B$12:$B$307,'Liste des fournisseurs'!$C$12:$C$307,"")</f>
        <v>cl</v>
      </c>
      <c r="D26" s="20">
        <v>2</v>
      </c>
      <c r="E26" s="6">
        <f>_xlfn.XLOOKUP(Tableau571231416182022243234362[[#This Row],[Article]],'Liste des fournisseurs'!$B$12:$B$307,'Liste des fournisseurs'!$F$12:$F$307,"")</f>
        <v>0.17857142857142858</v>
      </c>
      <c r="F26" s="7">
        <f>IFERROR(Tableau571231416182022243234362[[#This Row],[Coût d''achat HT à l''unité]]*Tableau571231416182022243234362[[#This Row],[Unités nécessaires]],"")</f>
        <v>0.35714285714285715</v>
      </c>
    </row>
    <row r="27" spans="2:6" ht="17">
      <c r="B27" s="8" t="s">
        <v>184</v>
      </c>
      <c r="C27" s="5" t="str">
        <f>_xlfn.XLOOKUP(Tableau571231416182022243234362[[#This Row],[Article]],'Liste des fournisseurs'!$B$12:$B$307,'Liste des fournisseurs'!$C$12:$C$307,"")</f>
        <v>CL</v>
      </c>
      <c r="D27" s="20">
        <v>2</v>
      </c>
      <c r="E27" s="6">
        <f>_xlfn.XLOOKUP(Tableau571231416182022243234362[[#This Row],[Article]],'Liste des fournisseurs'!$B$12:$B$307,'Liste des fournisseurs'!$F$12:$F$307,"")</f>
        <v>0.10666666666666667</v>
      </c>
      <c r="F27" s="7">
        <f>IFERROR(Tableau571231416182022243234362[[#This Row],[Coût d''achat HT à l''unité]]*Tableau571231416182022243234362[[#This Row],[Unités nécessaires]],"")</f>
        <v>0.21333333333333335</v>
      </c>
    </row>
    <row r="28" spans="2:6" ht="17">
      <c r="B28" s="8" t="s">
        <v>478</v>
      </c>
      <c r="C28" s="5" t="str">
        <f>_xlfn.XLOOKUP(Tableau571231416182022243234362[[#This Row],[Article]],'Liste des fournisseurs'!$B$12:$B$307,'Liste des fournisseurs'!$C$12:$C$307,"")</f>
        <v>cl</v>
      </c>
      <c r="D28" s="20">
        <v>3</v>
      </c>
      <c r="E28" s="6">
        <f>_xlfn.XLOOKUP(Tableau571231416182022243234362[[#This Row],[Article]],'Liste des fournisseurs'!$B$12:$B$307,'Liste des fournisseurs'!$F$12:$F$307,"")</f>
        <v>0.45</v>
      </c>
      <c r="F28" s="7">
        <f>IFERROR(Tableau571231416182022243234362[[#This Row],[Coût d''achat HT à l''unité]]*Tableau571231416182022243234362[[#This Row],[Unités nécessaires]],"")</f>
        <v>1.35</v>
      </c>
    </row>
    <row r="29" spans="2:6" ht="17">
      <c r="B29" s="8" t="s">
        <v>241</v>
      </c>
      <c r="C29" s="5" t="str">
        <f>_xlfn.XLOOKUP(Tableau571231416182022243234362[[#This Row],[Article]],'Liste des fournisseurs'!$B$12:$B$307,'Liste des fournisseurs'!$C$12:$C$307,"")</f>
        <v>cl</v>
      </c>
      <c r="D29" s="20">
        <v>1</v>
      </c>
      <c r="E29" s="6">
        <f>_xlfn.XLOOKUP(Tableau571231416182022243234362[[#This Row],[Article]],'Liste des fournisseurs'!$B$12:$B$307,'Liste des fournisseurs'!$F$12:$F$307,"")</f>
        <v>0.17142857142857143</v>
      </c>
      <c r="F29" s="7">
        <f>IFERROR(Tableau571231416182022243234362[[#This Row],[Coût d''achat HT à l''unité]]*Tableau571231416182022243234362[[#This Row],[Unités nécessaires]],"")</f>
        <v>0.17142857142857143</v>
      </c>
    </row>
    <row r="30" spans="2:6" ht="17">
      <c r="B30" s="8" t="s">
        <v>172</v>
      </c>
      <c r="C30" s="5" t="str">
        <f>_xlfn.XLOOKUP(Tableau571231416182022243234362[[#This Row],[Article]],'Liste des fournisseurs'!$B$12:$B$307,'Liste des fournisseurs'!$C$12:$C$307,"")</f>
        <v>cl</v>
      </c>
      <c r="D30" s="20">
        <v>2</v>
      </c>
      <c r="E30" s="6">
        <f>_xlfn.XLOOKUP(Tableau571231416182022243234362[[#This Row],[Article]],'Liste des fournisseurs'!$B$12:$B$307,'Liste des fournisseurs'!$F$12:$F$307,"")</f>
        <v>0.17333333333333334</v>
      </c>
      <c r="F30" s="7">
        <f>IFERROR(Tableau571231416182022243234362[[#This Row],[Coût d''achat HT à l''unité]]*Tableau571231416182022243234362[[#This Row],[Unités nécessaires]],"")</f>
        <v>0.34666666666666668</v>
      </c>
    </row>
    <row r="31" spans="2:6" ht="17">
      <c r="B31" s="8" t="s">
        <v>118</v>
      </c>
      <c r="C31" s="5" t="str">
        <f>_xlfn.XLOOKUP(Tableau571231416182022243234362[[#This Row],[Article]],'Liste des fournisseurs'!$B$12:$B$307,'Liste des fournisseurs'!$C$12:$C$307,"")</f>
        <v>cl</v>
      </c>
      <c r="D31" s="20">
        <v>1.5</v>
      </c>
      <c r="E31" s="6">
        <f>_xlfn.XLOOKUP(Tableau571231416182022243234362[[#This Row],[Article]],'Liste des fournisseurs'!$B$12:$B$307,'Liste des fournisseurs'!$F$12:$F$307,"")</f>
        <v>0.17499999999999999</v>
      </c>
      <c r="F31" s="7">
        <f>IFERROR(Tableau571231416182022243234362[[#This Row],[Coût d''achat HT à l''unité]]*Tableau571231416182022243234362[[#This Row],[Unités nécessaires]],"")</f>
        <v>0.26249999999999996</v>
      </c>
    </row>
    <row r="32" spans="2:6" ht="17">
      <c r="B32" s="8" t="s">
        <v>221</v>
      </c>
      <c r="C32" s="5" t="str">
        <f>_xlfn.XLOOKUP(Tableau571231416182022243234362[[#This Row],[Article]],'Liste des fournisseurs'!$B$12:$B$307,'Liste des fournisseurs'!$C$12:$C$307,"")</f>
        <v>cl</v>
      </c>
      <c r="D32" s="20">
        <v>10</v>
      </c>
      <c r="E32" s="6">
        <f>_xlfn.XLOOKUP(Tableau571231416182022243234362[[#This Row],[Article]],'Liste des fournisseurs'!$B$12:$B$307,'Liste des fournisseurs'!$F$12:$F$307,"")</f>
        <v>1.5151515151515152E-2</v>
      </c>
      <c r="F32" s="7">
        <f>IFERROR(Tableau571231416182022243234362[[#This Row],[Coût d''achat HT à l''unité]]*Tableau571231416182022243234362[[#This Row],[Unités nécessaires]],"")</f>
        <v>0.15151515151515152</v>
      </c>
    </row>
    <row r="33" spans="2:6" ht="17">
      <c r="B33" s="34" t="s">
        <v>7</v>
      </c>
      <c r="C33" s="35"/>
      <c r="D33" s="35"/>
      <c r="E33" s="35"/>
      <c r="F33" s="42">
        <f>SUM(Tableau571231416182022243234362[Prix de revient HT])</f>
        <v>2.8525865800865802</v>
      </c>
    </row>
    <row r="34" spans="2:6" ht="17">
      <c r="B34" s="37" t="s">
        <v>8</v>
      </c>
      <c r="C34" s="38"/>
      <c r="D34" s="38"/>
      <c r="E34" s="38"/>
      <c r="F34" s="43">
        <f>F33/C13</f>
        <v>2.8525865800865802</v>
      </c>
    </row>
    <row r="35" spans="2:6" ht="17">
      <c r="B35" s="37" t="s">
        <v>9</v>
      </c>
      <c r="C35" s="40">
        <v>0.2</v>
      </c>
      <c r="D35" s="38"/>
      <c r="E35" s="38"/>
      <c r="F35" s="43">
        <f>SUM(F26:F32)</f>
        <v>2.8525865800865802</v>
      </c>
    </row>
    <row r="36" spans="2:6" ht="17">
      <c r="B36" s="37" t="s">
        <v>10</v>
      </c>
      <c r="C36" s="38"/>
      <c r="D36" s="38"/>
      <c r="E36" s="38"/>
      <c r="F36" s="43">
        <f>F34+C35*F34</f>
        <v>3.4231038961038962</v>
      </c>
    </row>
    <row r="37" spans="2:6" ht="20">
      <c r="B37" s="50" t="s">
        <v>13</v>
      </c>
      <c r="C37" s="48"/>
      <c r="D37" s="48"/>
      <c r="E37" s="48"/>
      <c r="F37" s="47">
        <v>4.5</v>
      </c>
    </row>
    <row r="38" spans="2:6" ht="20">
      <c r="B38" s="51" t="s">
        <v>483</v>
      </c>
      <c r="C38" s="49"/>
      <c r="D38" s="49"/>
      <c r="E38" s="49"/>
      <c r="F38" s="116">
        <f>(F40-F36)/F40</f>
        <v>0.77777777777777779</v>
      </c>
    </row>
    <row r="39" spans="2:6" ht="20">
      <c r="B39" s="205" t="s">
        <v>484</v>
      </c>
      <c r="C39" s="206"/>
      <c r="D39" s="206"/>
      <c r="E39" s="206"/>
      <c r="F39" s="207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15.403967532467533</v>
      </c>
    </row>
    <row r="41" spans="2:6" ht="20" thickBot="1">
      <c r="B41" s="41" t="s">
        <v>12</v>
      </c>
      <c r="C41" s="18"/>
      <c r="D41" s="18"/>
      <c r="E41" s="18"/>
      <c r="F41" s="45">
        <f>F40-F36</f>
        <v>11.980863636363637</v>
      </c>
    </row>
    <row r="42" spans="2:6" ht="15" thickBot="1"/>
    <row r="43" spans="2:6" ht="26">
      <c r="B43" s="251" t="s">
        <v>301</v>
      </c>
      <c r="C43" s="252"/>
      <c r="D43" s="252"/>
      <c r="E43" s="252"/>
      <c r="F43" s="253"/>
    </row>
    <row r="44" spans="2:6" ht="16">
      <c r="B44" s="131" t="s">
        <v>363</v>
      </c>
      <c r="C44" s="141"/>
      <c r="D44" s="141"/>
      <c r="E44" s="141"/>
      <c r="F44" s="142"/>
    </row>
    <row r="45" spans="2:6" ht="16">
      <c r="B45" s="131" t="s">
        <v>317</v>
      </c>
      <c r="C45" s="141"/>
      <c r="D45" s="141"/>
      <c r="E45" s="141"/>
      <c r="F45" s="142"/>
    </row>
    <row r="46" spans="2:6" ht="16">
      <c r="B46" s="131" t="s">
        <v>316</v>
      </c>
      <c r="C46" s="141"/>
      <c r="D46" s="141"/>
      <c r="E46" s="141"/>
      <c r="F46" s="142"/>
    </row>
    <row r="47" spans="2:6" ht="16">
      <c r="B47" s="131" t="s">
        <v>318</v>
      </c>
      <c r="C47" s="141"/>
      <c r="D47" s="141"/>
      <c r="E47" s="141"/>
      <c r="F47" s="142"/>
    </row>
    <row r="48" spans="2:6" ht="16">
      <c r="B48" s="131" t="s">
        <v>319</v>
      </c>
      <c r="C48" s="141"/>
      <c r="D48" s="141"/>
      <c r="E48" s="141"/>
      <c r="F48" s="142"/>
    </row>
    <row r="49" spans="2:6" ht="16">
      <c r="B49" s="131" t="s">
        <v>320</v>
      </c>
      <c r="C49" s="141"/>
      <c r="D49" s="141"/>
      <c r="E49" s="141"/>
      <c r="F49" s="142"/>
    </row>
    <row r="50" spans="2:6" ht="17" thickBot="1">
      <c r="B50" s="143"/>
      <c r="C50" s="144"/>
      <c r="D50" s="144"/>
      <c r="E50" s="144"/>
      <c r="F50" s="145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7:F7"/>
    <mergeCell ref="B9:F9"/>
    <mergeCell ref="B11:F11"/>
    <mergeCell ref="B43:F43"/>
  </mergeCells>
  <dataValidations count="1">
    <dataValidation type="list" allowBlank="1" showInputMessage="1" showErrorMessage="1" sqref="B9" xr:uid="{3654AFF3-809E-244D-A71D-2D37BD3CE3BA}">
      <formula1>"Cocktail,Mocktail,Desserts,Entrées chaudes,Entrées froides,Pâtes en Folie,Pâtes classiques"</formula1>
    </dataValidation>
  </dataValidations>
  <pageMargins left="0.25" right="0.25" top="0.75" bottom="0.75" header="0.3" footer="0.3"/>
  <pageSetup paperSize="9" scale="74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F53905-4124-F74F-AC38-882ED30D2A50}">
          <x14:formula1>
            <xm:f>'Liste des fournisseurs'!$B$12:$B$307</xm:f>
          </x14:formula1>
          <xm:sqref>B26:B32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A3AA-7E24-D24D-8430-38D807809814}">
  <dimension ref="B5:N48"/>
  <sheetViews>
    <sheetView topLeftCell="A11" zoomScale="150" zoomScaleNormal="100" zoomScalePageLayoutView="88" workbookViewId="0">
      <selection activeCell="F37" sqref="F37"/>
    </sheetView>
  </sheetViews>
  <sheetFormatPr baseColWidth="10" defaultRowHeight="14"/>
  <cols>
    <col min="1" max="1" width="10.83203125" style="11"/>
    <col min="2" max="2" width="45.5" style="9" customWidth="1"/>
    <col min="3" max="3" width="10.1640625" style="10" customWidth="1"/>
    <col min="4" max="4" width="19.5" style="10" bestFit="1" customWidth="1"/>
    <col min="5" max="5" width="28.33203125" style="10" bestFit="1" customWidth="1"/>
    <col min="6" max="6" width="21.33203125" style="10" customWidth="1"/>
    <col min="7" max="7" width="10.83203125" style="11"/>
    <col min="8" max="8" width="20.1640625" style="11" bestFit="1" customWidth="1"/>
    <col min="9" max="10" width="10.83203125" style="11"/>
    <col min="11" max="11" width="16" style="11" bestFit="1" customWidth="1"/>
    <col min="12" max="16384" width="10.83203125" style="11"/>
  </cols>
  <sheetData>
    <row r="5" spans="2:14">
      <c r="G5" s="30"/>
    </row>
    <row r="6" spans="2:14" ht="15" thickBot="1">
      <c r="G6" s="30"/>
    </row>
    <row r="7" spans="2:14" ht="27" thickBot="1">
      <c r="B7" s="233" t="s">
        <v>0</v>
      </c>
      <c r="C7" s="234"/>
      <c r="D7" s="234"/>
      <c r="E7" s="234"/>
      <c r="F7" s="235"/>
      <c r="G7" s="31"/>
      <c r="H7" s="31"/>
      <c r="I7" s="31"/>
      <c r="J7" s="31"/>
      <c r="K7" s="31"/>
      <c r="L7" s="31"/>
      <c r="M7" s="31"/>
      <c r="N7" s="31"/>
    </row>
    <row r="8" spans="2:14" ht="15" thickBot="1">
      <c r="B8" s="12"/>
      <c r="G8" s="30"/>
      <c r="H8" s="30"/>
      <c r="I8" s="30"/>
      <c r="J8" s="30"/>
      <c r="K8" s="30"/>
      <c r="L8" s="30"/>
      <c r="M8" s="30"/>
      <c r="N8" s="30"/>
    </row>
    <row r="9" spans="2:14" ht="27" thickBot="1">
      <c r="B9" s="233" t="s">
        <v>274</v>
      </c>
      <c r="C9" s="234"/>
      <c r="D9" s="234"/>
      <c r="E9" s="234"/>
      <c r="F9" s="235"/>
      <c r="G9" s="31"/>
      <c r="H9" s="31"/>
      <c r="I9" s="31"/>
      <c r="J9" s="31"/>
      <c r="K9" s="31"/>
      <c r="L9" s="31"/>
      <c r="M9" s="31"/>
      <c r="N9" s="31"/>
    </row>
    <row r="10" spans="2:14" ht="15" thickBot="1">
      <c r="B10" s="13"/>
      <c r="G10" s="30"/>
      <c r="H10" s="32"/>
      <c r="I10" s="30"/>
      <c r="J10" s="30"/>
      <c r="K10" s="30"/>
      <c r="L10" s="30"/>
      <c r="M10" s="30"/>
      <c r="N10" s="30"/>
    </row>
    <row r="11" spans="2:14" ht="27" thickBot="1">
      <c r="B11" s="230" t="s">
        <v>289</v>
      </c>
      <c r="C11" s="231"/>
      <c r="D11" s="231"/>
      <c r="E11" s="231"/>
      <c r="F11" s="232"/>
      <c r="G11" s="33"/>
      <c r="H11" s="33"/>
      <c r="I11" s="33"/>
      <c r="J11" s="33"/>
      <c r="K11" s="33"/>
      <c r="L11" s="33"/>
      <c r="M11" s="33"/>
      <c r="N11" s="33"/>
    </row>
    <row r="12" spans="2:14" ht="26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spans="2:14" ht="22">
      <c r="B13" s="60" t="s">
        <v>292</v>
      </c>
      <c r="C13" s="22">
        <v>1</v>
      </c>
      <c r="G13" s="30"/>
    </row>
    <row r="14" spans="2:14" ht="21">
      <c r="B14" s="23"/>
      <c r="C14" s="24"/>
      <c r="G14" s="30"/>
    </row>
    <row r="15" spans="2:14" ht="22">
      <c r="B15" s="21" t="s">
        <v>1</v>
      </c>
      <c r="C15" s="52">
        <f>(C16*F39)+F39</f>
        <v>14.991177142857143</v>
      </c>
      <c r="E15" s="53"/>
      <c r="G15" s="30"/>
    </row>
    <row r="16" spans="2:14" ht="22">
      <c r="B16" s="21" t="s">
        <v>2</v>
      </c>
      <c r="C16" s="26">
        <v>0.16</v>
      </c>
      <c r="G16" s="30"/>
    </row>
    <row r="18" spans="2:6" ht="21" thickBot="1">
      <c r="B18" s="73" t="s">
        <v>294</v>
      </c>
      <c r="C18" s="13"/>
    </row>
    <row r="19" spans="2:6" ht="22" thickTop="1" thickBot="1">
      <c r="B19" s="74" t="s">
        <v>473</v>
      </c>
      <c r="C19" s="105"/>
    </row>
    <row r="20" spans="2:6" ht="21" thickTop="1">
      <c r="B20" s="74" t="s">
        <v>474</v>
      </c>
      <c r="C20" s="13"/>
    </row>
    <row r="21" spans="2:6" ht="20">
      <c r="B21" s="74" t="s">
        <v>463</v>
      </c>
    </row>
    <row r="22" spans="2:6" ht="20">
      <c r="B22" s="74" t="s">
        <v>475</v>
      </c>
      <c r="C22" s="13"/>
    </row>
    <row r="23" spans="2:6" ht="19">
      <c r="B23" s="74"/>
      <c r="C23" s="13"/>
    </row>
    <row r="24" spans="2:6" ht="19">
      <c r="B24" s="62" t="s">
        <v>298</v>
      </c>
      <c r="C24" s="62" t="s">
        <v>326</v>
      </c>
    </row>
    <row r="25" spans="2:6" ht="15" thickBot="1">
      <c r="B25" s="12"/>
    </row>
    <row r="26" spans="2:6" ht="45" thickBot="1">
      <c r="B26" s="28" t="s">
        <v>3</v>
      </c>
      <c r="C26" s="29" t="s">
        <v>94</v>
      </c>
      <c r="D26" s="29" t="s">
        <v>5</v>
      </c>
      <c r="E26" s="29" t="s">
        <v>4</v>
      </c>
      <c r="F26" s="29" t="s">
        <v>6</v>
      </c>
    </row>
    <row r="27" spans="2:6" ht="17">
      <c r="B27" s="8" t="s">
        <v>487</v>
      </c>
      <c r="C27" s="5" t="s">
        <v>211</v>
      </c>
      <c r="D27" s="20">
        <v>2</v>
      </c>
      <c r="E27" s="6">
        <f>_xlfn.XLOOKUP(Tableau5712314161820222432343626[[#This Row],[Article]],'Liste des fournisseurs'!$B$12:$B$307,'Liste des fournisseurs'!$F$12:$F$307,"")</f>
        <v>0.53333333333333333</v>
      </c>
      <c r="F27" s="7">
        <f>IFERROR(Tableau5712314161820222432343626[[#This Row],[Coût d''achat HT à l''unité]]*Tableau5712314161820222432343626[[#This Row],[Unités nécessaires]],"")</f>
        <v>1.0666666666666667</v>
      </c>
    </row>
    <row r="28" spans="2:6" ht="17">
      <c r="B28" s="8" t="s">
        <v>291</v>
      </c>
      <c r="C28" s="5" t="s">
        <v>211</v>
      </c>
      <c r="D28" s="20">
        <v>3</v>
      </c>
      <c r="E28" s="6">
        <v>0.1</v>
      </c>
      <c r="F28" s="7">
        <f>IFERROR(Tableau5712314161820222432343626[[#This Row],[Coût d''achat HT à l''unité]]*Tableau5712314161820222432343626[[#This Row],[Unités nécessaires]],"")</f>
        <v>0.30000000000000004</v>
      </c>
    </row>
    <row r="29" spans="2:6" ht="17">
      <c r="B29" s="8" t="s">
        <v>114</v>
      </c>
      <c r="C29" s="5" t="s">
        <v>211</v>
      </c>
      <c r="D29" s="20">
        <v>3.5</v>
      </c>
      <c r="E29" s="6">
        <f>_xlfn.XLOOKUP(Tableau5712314161820222432343626[[#This Row],[Article]],'Liste des fournisseurs'!$B$12:$B$307,'Liste des fournisseurs'!$F$12:$F$307,"")</f>
        <v>0.12</v>
      </c>
      <c r="F29" s="7">
        <f>IFERROR(Tableau5712314161820222432343626[[#This Row],[Coût d''achat HT à l''unité]]*Tableau5712314161820222432343626[[#This Row],[Unités nécessaires]],"")</f>
        <v>0.42</v>
      </c>
    </row>
    <row r="30" spans="2:6" ht="17">
      <c r="B30" s="8" t="s">
        <v>241</v>
      </c>
      <c r="C30" s="5" t="s">
        <v>211</v>
      </c>
      <c r="D30" s="20">
        <v>1</v>
      </c>
      <c r="E30" s="6">
        <f>_xlfn.XLOOKUP(Tableau5712314161820222432343626[[#This Row],[Article]],'Liste des fournisseurs'!$B$12:$B$307,'Liste des fournisseurs'!$F$12:$F$307,"")</f>
        <v>0.17142857142857143</v>
      </c>
      <c r="F30" s="7">
        <f>IFERROR(Tableau5712314161820222432343626[[#This Row],[Coût d''achat HT à l''unité]]*Tableau5712314161820222432343626[[#This Row],[Unités nécessaires]],"")</f>
        <v>0.17142857142857143</v>
      </c>
    </row>
    <row r="31" spans="2:6" ht="16">
      <c r="B31" s="8"/>
      <c r="C31" s="5"/>
      <c r="D31" s="20"/>
      <c r="E31" s="6" t="str">
        <f>_xlfn.XLOOKUP(Tableau5712314161820222432343626[[#This Row],[Article]],'Liste des fournisseurs'!$B$12:$B$307,'Liste des fournisseurs'!$F$12:$F$307,"")</f>
        <v/>
      </c>
      <c r="F31" s="7" t="str">
        <f>IFERROR(Tableau5712314161820222432343626[[#This Row],[Coût d''achat HT à l''unité]]*Tableau5712314161820222432343626[[#This Row],[Unités nécessaires]],"")</f>
        <v/>
      </c>
    </row>
    <row r="32" spans="2:6" ht="17">
      <c r="B32" s="34" t="s">
        <v>7</v>
      </c>
      <c r="C32" s="35"/>
      <c r="D32" s="35"/>
      <c r="E32" s="35"/>
      <c r="F32" s="42">
        <f>SUM(Tableau5712314161820222432343626[Prix de revient HT])</f>
        <v>1.9580952380952381</v>
      </c>
    </row>
    <row r="33" spans="2:6" ht="17">
      <c r="B33" s="37" t="s">
        <v>8</v>
      </c>
      <c r="C33" s="38"/>
      <c r="D33" s="38"/>
      <c r="E33" s="38"/>
      <c r="F33" s="43">
        <f>F32/C13</f>
        <v>1.9580952380952381</v>
      </c>
    </row>
    <row r="34" spans="2:6" ht="17">
      <c r="B34" s="37" t="s">
        <v>9</v>
      </c>
      <c r="C34" s="40">
        <v>0.2</v>
      </c>
      <c r="D34" s="38"/>
      <c r="E34" s="38"/>
      <c r="F34" s="43">
        <f>SUM(F27:F31)</f>
        <v>1.9580952380952381</v>
      </c>
    </row>
    <row r="35" spans="2:6" ht="17">
      <c r="B35" s="37" t="s">
        <v>10</v>
      </c>
      <c r="C35" s="38"/>
      <c r="D35" s="38"/>
      <c r="E35" s="38"/>
      <c r="F35" s="43">
        <f>F33+C34*F33</f>
        <v>2.3497142857142856</v>
      </c>
    </row>
    <row r="36" spans="2:6" ht="20">
      <c r="B36" s="50" t="s">
        <v>13</v>
      </c>
      <c r="C36" s="48"/>
      <c r="D36" s="48"/>
      <c r="E36" s="48"/>
      <c r="F36" s="47">
        <v>5.5</v>
      </c>
    </row>
    <row r="37" spans="2:6" ht="20">
      <c r="B37" s="51" t="s">
        <v>483</v>
      </c>
      <c r="C37" s="49"/>
      <c r="D37" s="49"/>
      <c r="E37" s="49"/>
      <c r="F37" s="116">
        <f>(F39-F35)/F39</f>
        <v>0.81818181818181812</v>
      </c>
    </row>
    <row r="38" spans="2:6" ht="20">
      <c r="B38" s="205" t="s">
        <v>484</v>
      </c>
      <c r="C38" s="206"/>
      <c r="D38" s="206"/>
      <c r="E38" s="206"/>
      <c r="F38" s="207" t="s">
        <v>482</v>
      </c>
    </row>
    <row r="39" spans="2:6" ht="19">
      <c r="B39" s="37" t="s">
        <v>11</v>
      </c>
      <c r="C39" s="14"/>
      <c r="D39" s="14"/>
      <c r="E39" s="14"/>
      <c r="F39" s="44">
        <f>F35*F36</f>
        <v>12.923428571428571</v>
      </c>
    </row>
    <row r="40" spans="2:6" ht="20" thickBot="1">
      <c r="B40" s="41" t="s">
        <v>12</v>
      </c>
      <c r="C40" s="18"/>
      <c r="D40" s="18"/>
      <c r="E40" s="18"/>
      <c r="F40" s="45">
        <f>F39-F35</f>
        <v>10.573714285714285</v>
      </c>
    </row>
    <row r="41" spans="2:6" ht="15" thickBot="1"/>
    <row r="42" spans="2:6" ht="27" thickTop="1">
      <c r="B42" s="254" t="s">
        <v>301</v>
      </c>
      <c r="C42" s="255"/>
      <c r="D42" s="255"/>
      <c r="E42" s="255"/>
      <c r="F42" s="256"/>
    </row>
    <row r="43" spans="2:6" ht="16">
      <c r="B43" s="171" t="s">
        <v>370</v>
      </c>
      <c r="C43" s="141"/>
      <c r="D43" s="141"/>
      <c r="E43" s="141"/>
      <c r="F43" s="172"/>
    </row>
    <row r="44" spans="2:6" ht="16">
      <c r="B44" s="171" t="s">
        <v>371</v>
      </c>
      <c r="C44" s="141"/>
      <c r="D44" s="141"/>
      <c r="E44" s="141"/>
      <c r="F44" s="172"/>
    </row>
    <row r="45" spans="2:6" ht="16">
      <c r="B45" s="171" t="s">
        <v>380</v>
      </c>
      <c r="C45" s="141"/>
      <c r="D45" s="141"/>
      <c r="E45" s="141"/>
      <c r="F45" s="172"/>
    </row>
    <row r="46" spans="2:6" ht="16">
      <c r="B46" s="171" t="s">
        <v>372</v>
      </c>
      <c r="C46" s="141"/>
      <c r="D46" s="141"/>
      <c r="E46" s="141"/>
      <c r="F46" s="172"/>
    </row>
    <row r="47" spans="2:6" ht="17" thickBot="1">
      <c r="B47" s="173" t="s">
        <v>319</v>
      </c>
      <c r="C47" s="174"/>
      <c r="D47" s="174"/>
      <c r="E47" s="174"/>
      <c r="F47" s="175"/>
    </row>
    <row r="48" spans="2:6" ht="15" thickTop="1"/>
  </sheetData>
  <mergeCells count="4">
    <mergeCell ref="B7:F7"/>
    <mergeCell ref="B9:F9"/>
    <mergeCell ref="B11:F11"/>
    <mergeCell ref="B42:F42"/>
  </mergeCells>
  <dataValidations count="1">
    <dataValidation type="list" allowBlank="1" showInputMessage="1" showErrorMessage="1" sqref="B9" xr:uid="{9C017E80-F249-0248-AF01-153B22A3564A}">
      <formula1>"Cocktail,Mocktail,Desserts,Entrées chaudes,Entrées froides,Pâtes en Folie,Pâtes classiques"</formula1>
    </dataValidation>
  </dataValidations>
  <pageMargins left="0.25" right="0.25" top="0.75" bottom="0.75" header="0.3" footer="0.3"/>
  <pageSetup paperSize="9" scale="68" orientation="portrait" horizontalDpi="0" verticalDpi="0"/>
  <rowBreaks count="1" manualBreakCount="1">
    <brk id="58" min="1" max="5" man="1"/>
  </row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3A4A3829-8406-C041-ACB8-6A3506ACE645}">
          <x14:formula1>
            <xm:f>'Liste des fournisseurs'!$B$12:$B$307</xm:f>
          </x14:formula1>
          <xm:sqref>B27:B31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47FD-0873-414F-9635-8A3C769A416E}">
  <sheetPr>
    <pageSetUpPr fitToPage="1"/>
  </sheetPr>
  <dimension ref="B6:H55"/>
  <sheetViews>
    <sheetView topLeftCell="A12" zoomScale="125" zoomScaleNormal="91" zoomScalePageLayoutView="68" workbookViewId="0">
      <selection activeCell="D20" sqref="D20"/>
    </sheetView>
  </sheetViews>
  <sheetFormatPr baseColWidth="10" defaultRowHeight="14"/>
  <cols>
    <col min="1" max="1" width="10.83203125" style="11"/>
    <col min="2" max="2" width="45" style="9" customWidth="1"/>
    <col min="3" max="3" width="22.1640625" style="10" bestFit="1" customWidth="1"/>
    <col min="4" max="4" width="17" style="10" customWidth="1"/>
    <col min="5" max="5" width="20.1640625" style="10" customWidth="1"/>
    <col min="6" max="6" width="20.33203125" style="10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274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290</v>
      </c>
      <c r="C11" s="231"/>
      <c r="D11" s="231"/>
      <c r="E11" s="231"/>
      <c r="F11" s="232"/>
    </row>
    <row r="12" spans="2:6" ht="26">
      <c r="B12" s="33"/>
      <c r="C12" s="33"/>
      <c r="D12" s="33"/>
      <c r="E12" s="33"/>
      <c r="F12" s="33"/>
    </row>
    <row r="13" spans="2:6" ht="22">
      <c r="B13" s="60" t="s">
        <v>292</v>
      </c>
      <c r="C13" s="22">
        <v>1</v>
      </c>
    </row>
    <row r="14" spans="2:6" ht="21">
      <c r="B14" s="23"/>
      <c r="C14" s="24"/>
    </row>
    <row r="15" spans="2:6" ht="22">
      <c r="B15" s="21" t="s">
        <v>1</v>
      </c>
      <c r="C15" s="25">
        <f>(C16*F39)+F39</f>
        <v>12.194210009279999</v>
      </c>
      <c r="E15" s="53"/>
    </row>
    <row r="16" spans="2:6" ht="22">
      <c r="B16" s="21" t="s">
        <v>2</v>
      </c>
      <c r="C16" s="26">
        <v>0.16</v>
      </c>
    </row>
    <row r="18" spans="2:6" ht="20">
      <c r="B18" s="73" t="s">
        <v>294</v>
      </c>
      <c r="C18" s="13"/>
    </row>
    <row r="19" spans="2:6" ht="20">
      <c r="B19" s="74" t="s">
        <v>295</v>
      </c>
      <c r="C19" s="11"/>
    </row>
    <row r="20" spans="2:6" ht="21" thickBot="1">
      <c r="B20" s="74" t="s">
        <v>296</v>
      </c>
      <c r="C20" s="13"/>
    </row>
    <row r="21" spans="2:6" ht="22" thickTop="1" thickBot="1">
      <c r="B21" s="74" t="s">
        <v>297</v>
      </c>
      <c r="C21" s="105"/>
    </row>
    <row r="22" spans="2:6" ht="20" thickTop="1">
      <c r="B22" s="74"/>
      <c r="C22" s="13"/>
    </row>
    <row r="23" spans="2:6" ht="19">
      <c r="B23" s="62" t="s">
        <v>298</v>
      </c>
      <c r="C23" s="62" t="s">
        <v>299</v>
      </c>
    </row>
    <row r="24" spans="2:6" ht="15" thickBot="1">
      <c r="B24" s="12"/>
    </row>
    <row r="25" spans="2:6" ht="45" thickBot="1">
      <c r="B25" s="28" t="s">
        <v>3</v>
      </c>
      <c r="C25" s="29" t="s">
        <v>94</v>
      </c>
      <c r="D25" s="29" t="s">
        <v>5</v>
      </c>
      <c r="E25" s="29" t="s">
        <v>4</v>
      </c>
      <c r="F25" s="29" t="s">
        <v>6</v>
      </c>
    </row>
    <row r="26" spans="2:6" ht="17">
      <c r="B26" s="8" t="s">
        <v>56</v>
      </c>
      <c r="C26" s="5" t="str">
        <f>_xlfn.XLOOKUP(Tableau57123141618202224323436210[[#This Row],[Article]],'Liste des fournisseurs'!$B$12:$B$307,'Liste des fournisseurs'!$C$12:$C$307,"")</f>
        <v>g</v>
      </c>
      <c r="D26" s="20">
        <v>2</v>
      </c>
      <c r="E26" s="6">
        <f>_xlfn.XLOOKUP(Tableau57123141618202224323436210[[#This Row],[Article]],'Liste des fournisseurs'!$B$12:$B$307,'Liste des fournisseurs'!$F$12:$F$307,"")</f>
        <v>1.3799999999999999E-3</v>
      </c>
      <c r="F26" s="7">
        <f>IFERROR(Tableau57123141618202224323436210[[#This Row],[Coût d''achat HT à l''unité]]*Tableau57123141618202224323436210[[#This Row],[Unités nécessaires]],"")</f>
        <v>2.7599999999999999E-3</v>
      </c>
    </row>
    <row r="27" spans="2:6" ht="17">
      <c r="B27" s="8" t="s">
        <v>282</v>
      </c>
      <c r="C27" s="5" t="str">
        <f>_xlfn.XLOOKUP(Tableau57123141618202224323436210[[#This Row],[Article]],'Liste des fournisseurs'!$B$12:$B$307,'Liste des fournisseurs'!$C$12:$C$307,"")</f>
        <v xml:space="preserve">unité </v>
      </c>
      <c r="D27" s="20">
        <v>1</v>
      </c>
      <c r="E27" s="6">
        <f>_xlfn.XLOOKUP(Tableau57123141618202224323436210[[#This Row],[Article]],'Liste des fournisseurs'!$B$12:$B$307,'Liste des fournisseurs'!$F$12:$F$307,"")</f>
        <v>0.38496436000000001</v>
      </c>
      <c r="F27" s="7">
        <f>IFERROR(Tableau57123141618202224323436210[[#This Row],[Coût d''achat HT à l''unité]]*Tableau57123141618202224323436210[[#This Row],[Unités nécessaires]],"")</f>
        <v>0.38496436000000001</v>
      </c>
    </row>
    <row r="28" spans="2:6" ht="17">
      <c r="B28" s="8" t="s">
        <v>300</v>
      </c>
      <c r="C28" s="5" t="str">
        <f>_xlfn.XLOOKUP(Tableau57123141618202224323436210[[#This Row],[Article]],'Liste des fournisseurs'!$B$12:$B$307,'Liste des fournisseurs'!$C$12:$C$307,"")</f>
        <v>cl</v>
      </c>
      <c r="D28" s="20">
        <v>6</v>
      </c>
      <c r="E28" s="6">
        <f>_xlfn.XLOOKUP(Tableau57123141618202224323436210[[#This Row],[Article]],'Liste des fournisseurs'!$B$12:$B$307,'Liste des fournisseurs'!$F$12:$F$307,"")</f>
        <v>0.16</v>
      </c>
      <c r="F28" s="7">
        <f>IFERROR(Tableau57123141618202224323436210[[#This Row],[Coût d''achat HT à l''unité]]*Tableau57123141618202224323436210[[#This Row],[Unités nécessaires]],"")</f>
        <v>0.96</v>
      </c>
    </row>
    <row r="29" spans="2:6" ht="16">
      <c r="B29" s="8"/>
      <c r="C29" s="5" t="str">
        <f>_xlfn.XLOOKUP(Tableau57123141618202224323436210[[#This Row],[Article]],'Liste des fournisseurs'!$B$12:$B$307,'Liste des fournisseurs'!$C$12:$C$307,"")</f>
        <v/>
      </c>
      <c r="D29" s="20">
        <v>2</v>
      </c>
      <c r="E29" s="6" t="str">
        <f>_xlfn.XLOOKUP(Tableau57123141618202224323436210[[#This Row],[Article]],'Liste des fournisseurs'!$B$12:$B$307,'Liste des fournisseurs'!$F$12:$F$307,"")</f>
        <v/>
      </c>
      <c r="F29" s="7" t="str">
        <f>IFERROR(Tableau57123141618202224323436210[[#This Row],[Coût d''achat HT à l''unité]]*Tableau57123141618202224323436210[[#This Row],[Unités nécessaires]],"")</f>
        <v/>
      </c>
    </row>
    <row r="30" spans="2:6" ht="16">
      <c r="B30" s="8"/>
      <c r="C30" s="5" t="str">
        <f>_xlfn.XLOOKUP(Tableau57123141618202224323436210[[#This Row],[Article]],'Liste des fournisseurs'!$B$12:$B$307,'Liste des fournisseurs'!$C$12:$C$307,"")</f>
        <v/>
      </c>
      <c r="D30" s="20"/>
      <c r="E30" s="6" t="str">
        <f>_xlfn.XLOOKUP(Tableau57123141618202224323436210[[#This Row],[Article]],'Liste des fournisseurs'!$B$12:$B$307,'Liste des fournisseurs'!$F$12:$F$307,"")</f>
        <v/>
      </c>
      <c r="F30" s="7" t="str">
        <f>IFERROR(Tableau57123141618202224323436210[[#This Row],[Coût d''achat HT à l''unité]]*Tableau57123141618202224323436210[[#This Row],[Unités nécessaires]],"")</f>
        <v/>
      </c>
    </row>
    <row r="31" spans="2:6" ht="16">
      <c r="B31" s="8"/>
      <c r="C31" s="5" t="str">
        <f>_xlfn.XLOOKUP(Tableau57123141618202224323436210[[#This Row],[Article]],'Liste des fournisseurs'!$B$12:$B$307,'Liste des fournisseurs'!$C$12:$C$307,"")</f>
        <v/>
      </c>
      <c r="D31" s="20"/>
      <c r="E31" s="6" t="str">
        <f>_xlfn.XLOOKUP(Tableau57123141618202224323436210[[#This Row],[Article]],'Liste des fournisseurs'!$B$12:$B$307,'Liste des fournisseurs'!$F$12:$F$307,"")</f>
        <v/>
      </c>
      <c r="F31" s="7" t="str">
        <f>IFERROR(Tableau57123141618202224323436210[[#This Row],[Coût d''achat HT à l''unité]]*Tableau57123141618202224323436210[[#This Row],[Unités nécessaires]],"")</f>
        <v/>
      </c>
    </row>
    <row r="32" spans="2:6" ht="17">
      <c r="B32" s="34" t="s">
        <v>7</v>
      </c>
      <c r="C32" s="35"/>
      <c r="D32" s="35"/>
      <c r="E32" s="35"/>
      <c r="F32" s="42">
        <f>SUM(Tableau57123141618202224323436210[Prix de revient HT])</f>
        <v>1.34772436</v>
      </c>
    </row>
    <row r="33" spans="2:8" ht="34">
      <c r="B33" s="37" t="s">
        <v>8</v>
      </c>
      <c r="C33" s="38"/>
      <c r="D33" s="38"/>
      <c r="E33" s="38"/>
      <c r="F33" s="43">
        <f>F32/C13</f>
        <v>1.34772436</v>
      </c>
    </row>
    <row r="34" spans="2:8" ht="17">
      <c r="B34" s="37" t="s">
        <v>9</v>
      </c>
      <c r="C34" s="40">
        <v>0.2</v>
      </c>
      <c r="D34" s="38"/>
      <c r="E34" s="38"/>
      <c r="F34" s="43">
        <f>SUM(F26:F31)</f>
        <v>1.34772436</v>
      </c>
    </row>
    <row r="35" spans="2:8" ht="17">
      <c r="B35" s="37" t="s">
        <v>10</v>
      </c>
      <c r="C35" s="38"/>
      <c r="D35" s="38"/>
      <c r="E35" s="38"/>
      <c r="F35" s="43">
        <f>F33+C34*F33</f>
        <v>1.6172692319999999</v>
      </c>
    </row>
    <row r="36" spans="2:8" ht="20">
      <c r="B36" s="50" t="s">
        <v>13</v>
      </c>
      <c r="C36" s="48"/>
      <c r="D36" s="48"/>
      <c r="E36" s="48"/>
      <c r="F36" s="47">
        <v>6.5</v>
      </c>
    </row>
    <row r="37" spans="2:8" ht="20">
      <c r="B37" s="51" t="s">
        <v>483</v>
      </c>
      <c r="C37" s="49"/>
      <c r="D37" s="49"/>
      <c r="E37" s="49"/>
      <c r="F37" s="116">
        <f>(F39-F35)/F39</f>
        <v>0.84615384615384615</v>
      </c>
    </row>
    <row r="38" spans="2:8" ht="20">
      <c r="B38" s="205" t="s">
        <v>484</v>
      </c>
      <c r="C38" s="206"/>
      <c r="D38" s="206"/>
      <c r="E38" s="206"/>
      <c r="F38" s="207" t="s">
        <v>482</v>
      </c>
    </row>
    <row r="39" spans="2:8" ht="19">
      <c r="B39" s="37" t="s">
        <v>11</v>
      </c>
      <c r="C39" s="14"/>
      <c r="D39" s="14"/>
      <c r="E39" s="14"/>
      <c r="F39" s="44">
        <f>F35*F36</f>
        <v>10.512250007999999</v>
      </c>
    </row>
    <row r="40" spans="2:8" ht="20" thickBot="1">
      <c r="B40" s="41" t="s">
        <v>12</v>
      </c>
      <c r="C40" s="18"/>
      <c r="D40" s="18"/>
      <c r="E40" s="18"/>
      <c r="F40" s="45">
        <f>F39-F35</f>
        <v>8.8949807759999988</v>
      </c>
    </row>
    <row r="42" spans="2:8" ht="15" thickBot="1">
      <c r="G42" s="30"/>
      <c r="H42" s="30"/>
    </row>
    <row r="43" spans="2:8" ht="26">
      <c r="B43" s="248" t="s">
        <v>301</v>
      </c>
      <c r="C43" s="249"/>
      <c r="D43" s="249"/>
      <c r="E43" s="249"/>
      <c r="F43" s="250"/>
      <c r="G43" s="30"/>
      <c r="H43" s="30"/>
    </row>
    <row r="44" spans="2:8" ht="19">
      <c r="B44" s="130" t="s">
        <v>307</v>
      </c>
      <c r="C44" s="54"/>
      <c r="D44" s="54"/>
      <c r="E44" s="54"/>
      <c r="F44" s="91"/>
      <c r="G44" s="30"/>
      <c r="H44" s="30"/>
    </row>
    <row r="45" spans="2:8" ht="19">
      <c r="B45" s="130" t="s">
        <v>308</v>
      </c>
      <c r="C45" s="54"/>
      <c r="D45" s="54"/>
      <c r="E45" s="54"/>
      <c r="F45" s="91"/>
      <c r="G45" s="30"/>
      <c r="H45" s="30"/>
    </row>
    <row r="46" spans="2:8" ht="19">
      <c r="B46" s="130" t="s">
        <v>309</v>
      </c>
      <c r="C46" s="54"/>
      <c r="D46" s="54"/>
      <c r="E46" s="54"/>
      <c r="F46" s="91"/>
      <c r="G46" s="30"/>
      <c r="H46" s="30"/>
    </row>
    <row r="47" spans="2:8" ht="19">
      <c r="B47" s="130" t="s">
        <v>310</v>
      </c>
      <c r="C47" s="54"/>
      <c r="D47" s="54"/>
      <c r="E47" s="54"/>
      <c r="F47" s="91"/>
      <c r="G47" s="30"/>
      <c r="H47" s="30"/>
    </row>
    <row r="48" spans="2:8" ht="19">
      <c r="B48" s="130" t="s">
        <v>311</v>
      </c>
      <c r="C48" s="54"/>
      <c r="D48" s="54"/>
      <c r="E48" s="54"/>
      <c r="F48" s="91"/>
      <c r="G48" s="30"/>
      <c r="H48" s="30"/>
    </row>
    <row r="49" spans="2:8" ht="19">
      <c r="B49" s="130" t="s">
        <v>364</v>
      </c>
      <c r="C49" s="54"/>
      <c r="D49" s="54"/>
      <c r="E49" s="54"/>
      <c r="F49" s="91"/>
      <c r="G49" s="30"/>
      <c r="H49" s="30"/>
    </row>
    <row r="50" spans="2:8" ht="20" thickBot="1">
      <c r="B50" s="139" t="s">
        <v>312</v>
      </c>
      <c r="C50" s="93"/>
      <c r="D50" s="93"/>
      <c r="E50" s="93"/>
      <c r="F50" s="94"/>
    </row>
    <row r="51" spans="2:8">
      <c r="B51" s="30"/>
    </row>
    <row r="52" spans="2:8">
      <c r="B52" s="30"/>
    </row>
    <row r="53" spans="2:8">
      <c r="B53" s="30"/>
    </row>
    <row r="54" spans="2:8">
      <c r="B54" s="30"/>
    </row>
    <row r="55" spans="2:8">
      <c r="B55" s="30"/>
    </row>
  </sheetData>
  <mergeCells count="4">
    <mergeCell ref="B7:F7"/>
    <mergeCell ref="B9:F9"/>
    <mergeCell ref="B11:F11"/>
    <mergeCell ref="B43:F43"/>
  </mergeCells>
  <phoneticPr fontId="27" type="noConversion"/>
  <dataValidations count="1">
    <dataValidation type="list" allowBlank="1" showInputMessage="1" showErrorMessage="1" sqref="B9" xr:uid="{FE6D9269-30F7-674F-893C-67F577E026FB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70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A2927C-BF00-F342-A758-3C05A7F0D5FF}">
          <x14:formula1>
            <xm:f>'Liste des fournisseurs'!$B$12:$B$307</xm:f>
          </x14:formula1>
          <xm:sqref>B26:B31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E96F-583C-3443-9FA5-EDF6AB1453E7}">
  <sheetPr>
    <pageSetUpPr fitToPage="1"/>
  </sheetPr>
  <dimension ref="B6:M55"/>
  <sheetViews>
    <sheetView topLeftCell="A11" zoomScale="118" zoomScaleNormal="91" workbookViewId="0">
      <selection activeCell="B29" sqref="B29"/>
    </sheetView>
  </sheetViews>
  <sheetFormatPr baseColWidth="10" defaultRowHeight="14"/>
  <cols>
    <col min="1" max="1" width="10.83203125" style="13"/>
    <col min="2" max="2" width="45.33203125" style="9" bestFit="1" customWidth="1"/>
    <col min="3" max="3" width="9.5" style="9" customWidth="1"/>
    <col min="4" max="4" width="19.5" style="9" bestFit="1" customWidth="1"/>
    <col min="5" max="5" width="28.33203125" style="9" bestFit="1" customWidth="1"/>
    <col min="6" max="6" width="27.6640625" style="9" bestFit="1" customWidth="1"/>
    <col min="7" max="7" width="20.1640625" style="13" bestFit="1" customWidth="1"/>
    <col min="8" max="16384" width="10.83203125" style="13"/>
  </cols>
  <sheetData>
    <row r="6" spans="2:13" ht="15" thickBot="1"/>
    <row r="7" spans="2:13" ht="27" thickBot="1">
      <c r="B7" s="242" t="s">
        <v>0</v>
      </c>
      <c r="C7" s="243"/>
      <c r="D7" s="243"/>
      <c r="E7" s="243"/>
      <c r="F7" s="244"/>
      <c r="G7" s="65"/>
      <c r="H7" s="65"/>
      <c r="I7" s="65"/>
      <c r="J7" s="65"/>
      <c r="K7" s="65"/>
      <c r="L7" s="65"/>
      <c r="M7" s="65"/>
    </row>
    <row r="8" spans="2:13" ht="15" thickBot="1">
      <c r="B8" s="12"/>
      <c r="G8" s="66"/>
      <c r="H8" s="66"/>
      <c r="I8" s="66"/>
      <c r="J8" s="66"/>
      <c r="K8" s="66"/>
      <c r="L8" s="66"/>
      <c r="M8" s="66"/>
    </row>
    <row r="9" spans="2:13" ht="27" thickBot="1">
      <c r="B9" s="242" t="s">
        <v>274</v>
      </c>
      <c r="C9" s="243"/>
      <c r="D9" s="243"/>
      <c r="E9" s="243"/>
      <c r="F9" s="244"/>
      <c r="G9" s="65"/>
      <c r="H9" s="65"/>
      <c r="I9" s="65"/>
      <c r="J9" s="65"/>
      <c r="K9" s="65"/>
      <c r="L9" s="65"/>
      <c r="M9" s="65"/>
    </row>
    <row r="10" spans="2:13" ht="15" thickBot="1">
      <c r="B10" s="13"/>
      <c r="G10" s="67"/>
      <c r="H10" s="66"/>
      <c r="I10" s="66"/>
      <c r="J10" s="66"/>
      <c r="K10" s="66"/>
      <c r="L10" s="66"/>
      <c r="M10" s="66"/>
    </row>
    <row r="11" spans="2:13" ht="27" thickBot="1">
      <c r="B11" s="239" t="s">
        <v>287</v>
      </c>
      <c r="C11" s="240"/>
      <c r="D11" s="240"/>
      <c r="E11" s="240"/>
      <c r="F11" s="241"/>
      <c r="G11" s="68"/>
      <c r="H11" s="68"/>
      <c r="I11" s="68"/>
      <c r="J11" s="68"/>
      <c r="K11" s="68"/>
      <c r="L11" s="68"/>
      <c r="M11" s="68"/>
    </row>
    <row r="12" spans="2:13">
      <c r="B12" s="12"/>
    </row>
    <row r="13" spans="2:13" ht="22">
      <c r="B13" s="60" t="s">
        <v>292</v>
      </c>
      <c r="C13" s="69">
        <v>1</v>
      </c>
    </row>
    <row r="14" spans="2:13" ht="21">
      <c r="B14" s="23"/>
      <c r="C14" s="70"/>
    </row>
    <row r="15" spans="2:13" ht="22">
      <c r="B15" s="21" t="s">
        <v>1</v>
      </c>
      <c r="C15" s="25">
        <f>(C16*F37)+F37</f>
        <v>9.9272799999999997</v>
      </c>
    </row>
    <row r="16" spans="2:13" ht="22">
      <c r="B16" s="21" t="s">
        <v>2</v>
      </c>
      <c r="C16" s="71">
        <v>0.16</v>
      </c>
    </row>
    <row r="17" spans="2:6" ht="21">
      <c r="B17" s="27"/>
      <c r="C17" s="70"/>
      <c r="E17" s="72"/>
    </row>
    <row r="18" spans="2:6" ht="21" thickBot="1">
      <c r="B18" s="73" t="s">
        <v>294</v>
      </c>
      <c r="C18" s="13"/>
    </row>
    <row r="19" spans="2:6" ht="22" thickTop="1" thickBot="1">
      <c r="B19" s="74" t="s">
        <v>295</v>
      </c>
      <c r="C19" s="105"/>
    </row>
    <row r="20" spans="2:6" ht="21" thickTop="1">
      <c r="B20" s="74" t="s">
        <v>296</v>
      </c>
      <c r="C20" s="13"/>
    </row>
    <row r="21" spans="2:6" ht="20">
      <c r="B21" s="74" t="s">
        <v>297</v>
      </c>
      <c r="C21" s="13"/>
    </row>
    <row r="22" spans="2:6" ht="19">
      <c r="B22" s="74"/>
      <c r="C22" s="13"/>
    </row>
    <row r="23" spans="2:6" ht="19">
      <c r="B23" s="62" t="s">
        <v>298</v>
      </c>
      <c r="C23" s="62" t="s">
        <v>306</v>
      </c>
    </row>
    <row r="24" spans="2:6" ht="15" thickBot="1">
      <c r="B24" s="12"/>
    </row>
    <row r="25" spans="2:6" ht="45" thickBot="1">
      <c r="B25" s="28" t="s">
        <v>3</v>
      </c>
      <c r="C25" s="29" t="s">
        <v>94</v>
      </c>
      <c r="D25" s="29" t="s">
        <v>5</v>
      </c>
      <c r="E25" s="29" t="s">
        <v>4</v>
      </c>
      <c r="F25" s="29" t="s">
        <v>6</v>
      </c>
    </row>
    <row r="26" spans="2:6" ht="17">
      <c r="B26" s="8" t="s">
        <v>125</v>
      </c>
      <c r="C26" s="75" t="str">
        <f>_xlfn.XLOOKUP(Tableau5712314161820222432343638[[#This Row],[Article]],'Liste des fournisseurs'!$B$12:$B$307,'Liste des fournisseurs'!$C$12:$C$307,"")</f>
        <v>cl</v>
      </c>
      <c r="D26" s="76">
        <v>4</v>
      </c>
      <c r="E26" s="77">
        <f>_xlfn.XLOOKUP(Tableau5712314161820222432343638[[#This Row],[Article]],'Liste des fournisseurs'!$B$12:$B$307,'Liste des fournisseurs'!$F$12:$F$307,"")</f>
        <v>0.22666666666666666</v>
      </c>
      <c r="F26" s="78">
        <f>IFERROR(Tableau5712314161820222432343638[[#This Row],[Coût d''achat HT à l''unité]]*Tableau5712314161820222432343638[[#This Row],[Unités nécessaires]],"")</f>
        <v>0.90666666666666662</v>
      </c>
    </row>
    <row r="27" spans="2:6" ht="17">
      <c r="B27" s="8" t="s">
        <v>118</v>
      </c>
      <c r="C27" s="75" t="str">
        <f>_xlfn.XLOOKUP(Tableau5712314161820222432343638[[#This Row],[Article]],'Liste des fournisseurs'!$B$12:$B$307,'Liste des fournisseurs'!$C$12:$C$307,"")</f>
        <v>cl</v>
      </c>
      <c r="D27" s="76">
        <v>2</v>
      </c>
      <c r="E27" s="77">
        <f>_xlfn.XLOOKUP(Tableau5712314161820222432343638[[#This Row],[Article]],'Liste des fournisseurs'!$B$12:$B$307,'Liste des fournisseurs'!$F$12:$F$307,"")</f>
        <v>0.17499999999999999</v>
      </c>
      <c r="F27" s="78">
        <f>IFERROR(Tableau5712314161820222432343638[[#This Row],[Coût d''achat HT à l''unité]]*Tableau5712314161820222432343638[[#This Row],[Unités nécessaires]],"")</f>
        <v>0.35</v>
      </c>
    </row>
    <row r="28" spans="2:6" ht="17">
      <c r="B28" s="8" t="s">
        <v>276</v>
      </c>
      <c r="C28" s="75" t="str">
        <f>_xlfn.XLOOKUP(Tableau5712314161820222432343638[[#This Row],[Article]],'Liste des fournisseurs'!$B$12:$B$307,'Liste des fournisseurs'!$C$12:$C$307,"")</f>
        <v>cl</v>
      </c>
      <c r="D28" s="76">
        <v>2</v>
      </c>
      <c r="E28" s="77">
        <f>_xlfn.XLOOKUP(Tableau5712314161820222432343638[[#This Row],[Article]],'Liste des fournisseurs'!$B$12:$B$307,'Liste des fournisseurs'!$F$12:$F$307,"")</f>
        <v>0.02</v>
      </c>
      <c r="F28" s="78">
        <f>IFERROR(Tableau5712314161820222432343638[[#This Row],[Coût d''achat HT à l''unité]]*Tableau5712314161820222432343638[[#This Row],[Unités nécessaires]],"")</f>
        <v>0.04</v>
      </c>
    </row>
    <row r="29" spans="2:6" ht="17">
      <c r="B29" s="8"/>
      <c r="C29" s="75" t="str">
        <f>_xlfn.XLOOKUP(Tableau5712314161820222432343638[[#This Row],[Article]],'Liste des fournisseurs'!$B$12:$B$307,'Liste des fournisseurs'!$C$12:$C$307,"")</f>
        <v/>
      </c>
      <c r="D29" s="76"/>
      <c r="E29" s="77" t="str">
        <f>_xlfn.XLOOKUP(Tableau5712314161820222432343638[[#This Row],[Article]],'Liste des fournisseurs'!$B$12:$B$307,'Liste des fournisseurs'!$F$12:$F$307,"")</f>
        <v/>
      </c>
      <c r="F29" s="78" t="str">
        <f>IFERROR(Tableau5712314161820222432343638[[#This Row],[Coût d''achat HT à l''unité]]*Tableau5712314161820222432343638[[#This Row],[Unités nécessaires]],"")</f>
        <v/>
      </c>
    </row>
    <row r="30" spans="2:6" ht="17">
      <c r="B30" s="34" t="s">
        <v>7</v>
      </c>
      <c r="C30" s="79"/>
      <c r="D30" s="79"/>
      <c r="E30" s="79"/>
      <c r="F30" s="80">
        <f>SUM(Tableau5712314161820222432343638[Prix de revient HT])</f>
        <v>1.2966666666666666</v>
      </c>
    </row>
    <row r="31" spans="2:6" ht="17">
      <c r="B31" s="37" t="s">
        <v>8</v>
      </c>
      <c r="C31" s="81"/>
      <c r="D31" s="81"/>
      <c r="E31" s="81"/>
      <c r="F31" s="82">
        <f>F30/C13</f>
        <v>1.2966666666666666</v>
      </c>
    </row>
    <row r="32" spans="2:6" ht="17">
      <c r="B32" s="37" t="s">
        <v>9</v>
      </c>
      <c r="C32" s="83">
        <v>0.2</v>
      </c>
      <c r="D32" s="81"/>
      <c r="E32" s="81"/>
      <c r="F32" s="82">
        <f>SUM(F26:F29)</f>
        <v>1.2966666666666666</v>
      </c>
    </row>
    <row r="33" spans="2:6" ht="17">
      <c r="B33" s="37" t="s">
        <v>10</v>
      </c>
      <c r="C33" s="81"/>
      <c r="D33" s="81"/>
      <c r="E33" s="81"/>
      <c r="F33" s="82">
        <f>F31+C32*F31</f>
        <v>1.556</v>
      </c>
    </row>
    <row r="34" spans="2:6" ht="20">
      <c r="B34" s="50" t="s">
        <v>13</v>
      </c>
      <c r="C34" s="84"/>
      <c r="D34" s="84"/>
      <c r="E34" s="84"/>
      <c r="F34" s="85">
        <v>5.5</v>
      </c>
    </row>
    <row r="35" spans="2:6" ht="20">
      <c r="B35" s="51" t="s">
        <v>483</v>
      </c>
      <c r="C35" s="86"/>
      <c r="D35" s="86"/>
      <c r="E35" s="86"/>
      <c r="F35" s="116">
        <f>(F37-F33)/F37</f>
        <v>0.81818181818181812</v>
      </c>
    </row>
    <row r="36" spans="2:6" ht="20">
      <c r="B36" s="205" t="s">
        <v>484</v>
      </c>
      <c r="C36" s="206"/>
      <c r="D36" s="206"/>
      <c r="E36" s="206"/>
      <c r="F36" s="207" t="s">
        <v>482</v>
      </c>
    </row>
    <row r="37" spans="2:6" ht="19">
      <c r="B37" s="37" t="s">
        <v>11</v>
      </c>
      <c r="C37" s="87"/>
      <c r="D37" s="87"/>
      <c r="E37" s="87"/>
      <c r="F37" s="88">
        <f>F33*F34</f>
        <v>8.5579999999999998</v>
      </c>
    </row>
    <row r="38" spans="2:6" ht="20" thickBot="1">
      <c r="B38" s="41" t="s">
        <v>12</v>
      </c>
      <c r="C38" s="89"/>
      <c r="D38" s="89"/>
      <c r="E38" s="89"/>
      <c r="F38" s="90">
        <f>F37-F33</f>
        <v>7.0019999999999998</v>
      </c>
    </row>
    <row r="39" spans="2:6" ht="15" thickBot="1"/>
    <row r="40" spans="2:6" ht="26">
      <c r="B40" s="248" t="s">
        <v>301</v>
      </c>
      <c r="C40" s="249"/>
      <c r="D40" s="249"/>
      <c r="E40" s="249"/>
      <c r="F40" s="250"/>
    </row>
    <row r="41" spans="2:6" ht="16">
      <c r="B41" s="100" t="s">
        <v>302</v>
      </c>
      <c r="C41" s="95"/>
      <c r="D41" s="95"/>
      <c r="E41" s="95"/>
      <c r="F41" s="96"/>
    </row>
    <row r="42" spans="2:6" ht="16">
      <c r="B42" s="100" t="s">
        <v>303</v>
      </c>
      <c r="C42" s="95"/>
      <c r="D42" s="95"/>
      <c r="E42" s="95"/>
      <c r="F42" s="96"/>
    </row>
    <row r="43" spans="2:6" ht="16">
      <c r="B43" s="100" t="s">
        <v>304</v>
      </c>
      <c r="C43" s="95"/>
      <c r="D43" s="95"/>
      <c r="E43" s="95"/>
      <c r="F43" s="96"/>
    </row>
    <row r="44" spans="2:6" ht="16">
      <c r="B44" s="100" t="s">
        <v>305</v>
      </c>
      <c r="C44" s="95"/>
      <c r="D44" s="95"/>
      <c r="E44" s="95"/>
      <c r="F44" s="96"/>
    </row>
    <row r="45" spans="2:6" ht="17" thickBot="1">
      <c r="B45" s="97"/>
      <c r="C45" s="98"/>
      <c r="D45" s="98"/>
      <c r="E45" s="98"/>
      <c r="F45" s="99"/>
    </row>
    <row r="46" spans="2:6" ht="16">
      <c r="B46" s="101"/>
      <c r="C46" s="95"/>
      <c r="D46" s="95"/>
      <c r="E46" s="95"/>
      <c r="F46" s="95"/>
    </row>
    <row r="47" spans="2:6" ht="16">
      <c r="B47" s="101"/>
      <c r="C47" s="95"/>
      <c r="D47" s="95"/>
      <c r="E47" s="95"/>
      <c r="F47" s="95"/>
    </row>
    <row r="48" spans="2:6" ht="16">
      <c r="B48" s="101"/>
      <c r="C48" s="95"/>
      <c r="D48" s="95"/>
      <c r="E48" s="95"/>
      <c r="F48" s="95"/>
    </row>
    <row r="49" spans="2:6" ht="16">
      <c r="B49" s="101"/>
      <c r="C49" s="95"/>
      <c r="D49" s="95"/>
      <c r="E49" s="95"/>
      <c r="F49" s="95"/>
    </row>
    <row r="50" spans="2:6" ht="16">
      <c r="B50" s="101"/>
      <c r="C50" s="95"/>
      <c r="D50" s="95"/>
      <c r="E50" s="95"/>
      <c r="F50" s="95"/>
    </row>
    <row r="51" spans="2:6">
      <c r="B51" s="66"/>
    </row>
    <row r="52" spans="2:6">
      <c r="B52" s="66"/>
    </row>
    <row r="53" spans="2:6">
      <c r="B53" s="66"/>
    </row>
    <row r="54" spans="2:6">
      <c r="B54" s="66"/>
    </row>
    <row r="55" spans="2:6">
      <c r="B55" s="66"/>
    </row>
  </sheetData>
  <mergeCells count="4">
    <mergeCell ref="B11:F11"/>
    <mergeCell ref="B9:F9"/>
    <mergeCell ref="B7:F7"/>
    <mergeCell ref="B40:F40"/>
  </mergeCells>
  <dataValidations count="1">
    <dataValidation type="list" allowBlank="1" showInputMessage="1" showErrorMessage="1" sqref="B9" xr:uid="{88A52F6E-7AD5-F246-905C-D1A78DB85E70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scale="63" orientation="portrait" horizontalDpi="0" verticalDpi="0"/>
  <colBreaks count="2" manualBreakCount="2">
    <brk id="1" max="58" man="1"/>
    <brk id="6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103A30-8860-D946-AE91-037F9CF8BAC2}">
          <x14:formula1>
            <xm:f>'Liste des fournisseurs'!$B$12:$B$307</xm:f>
          </x14:formula1>
          <xm:sqref>B26:B29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2D0C-F096-ED4D-97A5-3B4FF68D4A2E}">
  <sheetPr>
    <pageSetUpPr fitToPage="1"/>
  </sheetPr>
  <dimension ref="B6:F56"/>
  <sheetViews>
    <sheetView topLeftCell="A11" zoomScale="110" zoomScaleNormal="75" zoomScalePageLayoutView="61" workbookViewId="0">
      <selection activeCell="L27" sqref="L27"/>
    </sheetView>
  </sheetViews>
  <sheetFormatPr baseColWidth="10" defaultRowHeight="14"/>
  <cols>
    <col min="1" max="1" width="10.83203125" style="11"/>
    <col min="2" max="2" width="35.83203125" style="9" bestFit="1" customWidth="1"/>
    <col min="3" max="3" width="9.1640625" style="10" customWidth="1"/>
    <col min="4" max="4" width="21" style="10" customWidth="1"/>
    <col min="5" max="5" width="16" style="10" customWidth="1"/>
    <col min="6" max="6" width="18.6640625" style="10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274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293</v>
      </c>
      <c r="C11" s="231"/>
      <c r="D11" s="231"/>
      <c r="E11" s="231"/>
      <c r="F11" s="232"/>
    </row>
    <row r="12" spans="2:6">
      <c r="B12" s="12"/>
    </row>
    <row r="13" spans="2:6" ht="22">
      <c r="B13" s="60" t="s">
        <v>292</v>
      </c>
      <c r="C13" s="22">
        <v>1</v>
      </c>
    </row>
    <row r="14" spans="2:6" ht="21">
      <c r="B14" s="23"/>
      <c r="C14" s="24"/>
    </row>
    <row r="15" spans="2:6" ht="22">
      <c r="B15" s="21" t="s">
        <v>1</v>
      </c>
      <c r="C15" s="25">
        <f>(C16*F38)+F38</f>
        <v>17.769576000000001</v>
      </c>
    </row>
    <row r="16" spans="2:6" ht="22">
      <c r="B16" s="21" t="s">
        <v>2</v>
      </c>
      <c r="C16" s="26">
        <v>0.16</v>
      </c>
    </row>
    <row r="17" spans="2:6" ht="21">
      <c r="B17" s="27"/>
      <c r="C17" s="24"/>
      <c r="E17" s="53"/>
    </row>
    <row r="18" spans="2:6" ht="19">
      <c r="B18" s="62" t="s">
        <v>294</v>
      </c>
      <c r="C18" s="11"/>
    </row>
    <row r="19" spans="2:6" ht="19">
      <c r="B19" s="63" t="s">
        <v>295</v>
      </c>
      <c r="C19" s="11"/>
    </row>
    <row r="20" spans="2:6" ht="20" thickBot="1">
      <c r="B20" s="63" t="s">
        <v>296</v>
      </c>
      <c r="C20" s="11"/>
    </row>
    <row r="21" spans="2:6" ht="21" thickTop="1" thickBot="1">
      <c r="B21" s="63" t="s">
        <v>297</v>
      </c>
      <c r="C21" s="105"/>
    </row>
    <row r="22" spans="2:6" ht="15" thickTop="1">
      <c r="B22" s="11"/>
      <c r="C22" s="11"/>
    </row>
    <row r="23" spans="2:6">
      <c r="B23" s="11"/>
      <c r="C23" s="11"/>
    </row>
    <row r="24" spans="2:6" ht="19">
      <c r="B24" s="62" t="s">
        <v>298</v>
      </c>
      <c r="C24" s="62" t="s">
        <v>299</v>
      </c>
    </row>
    <row r="25" spans="2:6" ht="15" thickBot="1">
      <c r="B25" s="12"/>
    </row>
    <row r="26" spans="2:6" ht="67" thickBot="1">
      <c r="B26" s="28" t="s">
        <v>3</v>
      </c>
      <c r="C26" s="29" t="s">
        <v>94</v>
      </c>
      <c r="D26" s="29" t="s">
        <v>5</v>
      </c>
      <c r="E26" s="29" t="s">
        <v>4</v>
      </c>
      <c r="F26" s="29" t="s">
        <v>6</v>
      </c>
    </row>
    <row r="27" spans="2:6" ht="17">
      <c r="B27" s="8" t="s">
        <v>478</v>
      </c>
      <c r="C27" s="5" t="str">
        <f>_xlfn.XLOOKUP(Tableau571231416182022243234363812[[#This Row],[Article]],'Liste des fournisseurs'!$B$12:$B$307,'Liste des fournisseurs'!$C$12:$C$307,"")</f>
        <v>cl</v>
      </c>
      <c r="D27" s="20">
        <f>3*$C$13</f>
        <v>3</v>
      </c>
      <c r="E27" s="6">
        <f>_xlfn.XLOOKUP(Tableau571231416182022243234363812[[#This Row],[Article]],'Liste des fournisseurs'!$B$12:$B$307,'Liste des fournisseurs'!$F$12:$F$307,"")</f>
        <v>0.45</v>
      </c>
      <c r="F27" s="7">
        <f>IFERROR(Tableau571231416182022243234363812[[#This Row],[Coût d''achat HT à l''unité]]*Tableau571231416182022243234363812[[#This Row],[Unités nécessaires]],"")</f>
        <v>1.35</v>
      </c>
    </row>
    <row r="28" spans="2:6" ht="17">
      <c r="B28" s="8" t="s">
        <v>126</v>
      </c>
      <c r="C28" s="5" t="str">
        <f>_xlfn.XLOOKUP(Tableau571231416182022243234363812[[#This Row],[Article]],'Liste des fournisseurs'!$B$12:$B$307,'Liste des fournisseurs'!$C$12:$C$307,"")</f>
        <v>cl</v>
      </c>
      <c r="D28" s="20">
        <f>3*$C$13</f>
        <v>3</v>
      </c>
      <c r="E28" s="6">
        <f>_xlfn.XLOOKUP(Tableau571231416182022243234363812[[#This Row],[Article]],'Liste des fournisseurs'!$B$12:$B$307,'Liste des fournisseurs'!$F$12:$F$307,"")</f>
        <v>0.20499999999999999</v>
      </c>
      <c r="F28" s="7">
        <f>IFERROR(Tableau571231416182022243234363812[[#This Row],[Coût d''achat HT à l''unité]]*Tableau571231416182022243234363812[[#This Row],[Unités nécessaires]],"")</f>
        <v>0.61499999999999999</v>
      </c>
    </row>
    <row r="29" spans="2:6" ht="17">
      <c r="B29" s="8" t="s">
        <v>156</v>
      </c>
      <c r="C29" s="5" t="str">
        <f>_xlfn.XLOOKUP(Tableau571231416182022243234363812[[#This Row],[Article]],'Liste des fournisseurs'!$B$12:$B$307,'Liste des fournisseurs'!$C$12:$C$307,"")</f>
        <v>cl</v>
      </c>
      <c r="D29" s="20">
        <f>3*$C$13</f>
        <v>3</v>
      </c>
      <c r="E29" s="6">
        <f>_xlfn.XLOOKUP(Tableau571231416182022243234363812[[#This Row],[Article]],'Liste des fournisseurs'!$B$12:$B$307,'Liste des fournisseurs'!$F$12:$F$307,"")</f>
        <v>0.11866666666666667</v>
      </c>
      <c r="F29" s="7">
        <f>IFERROR(Tableau571231416182022243234363812[[#This Row],[Coût d''achat HT à l''unité]]*Tableau571231416182022243234363812[[#This Row],[Unités nécessaires]],"")</f>
        <v>0.35599999999999998</v>
      </c>
    </row>
    <row r="30" spans="2:6" ht="16">
      <c r="B30" s="8"/>
      <c r="C30" s="5" t="str">
        <f>_xlfn.XLOOKUP(Tableau571231416182022243234363812[[#This Row],[Article]],'Liste des fournisseurs'!$B$12:$B$307,'Liste des fournisseurs'!$C$12:$C$307,"")</f>
        <v/>
      </c>
      <c r="D30" s="20"/>
      <c r="E30" s="6" t="str">
        <f>_xlfn.XLOOKUP(Tableau571231416182022243234363812[[#This Row],[Article]],'Liste des fournisseurs'!$B$12:$B$307,'Liste des fournisseurs'!$F$12:$F$307,"")</f>
        <v/>
      </c>
      <c r="F30" s="7" t="str">
        <f>IFERROR(Tableau571231416182022243234363812[[#This Row],[Coût d''achat HT à l''unité]]*Tableau571231416182022243234363812[[#This Row],[Unités nécessaires]],"")</f>
        <v/>
      </c>
    </row>
    <row r="31" spans="2:6" ht="17">
      <c r="B31" s="34" t="s">
        <v>7</v>
      </c>
      <c r="C31" s="35"/>
      <c r="D31" s="35"/>
      <c r="E31" s="35"/>
      <c r="F31" s="42">
        <f>SUM(Tableau571231416182022243234363812[Prix de revient HT])</f>
        <v>2.3210000000000002</v>
      </c>
    </row>
    <row r="32" spans="2:6" ht="34">
      <c r="B32" s="37" t="s">
        <v>8</v>
      </c>
      <c r="C32" s="38"/>
      <c r="D32" s="38"/>
      <c r="E32" s="38"/>
      <c r="F32" s="43">
        <f>F31/C13</f>
        <v>2.3210000000000002</v>
      </c>
    </row>
    <row r="33" spans="2:6" ht="17">
      <c r="B33" s="37" t="s">
        <v>9</v>
      </c>
      <c r="C33" s="40">
        <v>0.2</v>
      </c>
      <c r="D33" s="38"/>
      <c r="E33" s="38"/>
      <c r="F33" s="43">
        <f>SUM(F27:F30)</f>
        <v>2.3210000000000002</v>
      </c>
    </row>
    <row r="34" spans="2:6" ht="34">
      <c r="B34" s="37" t="s">
        <v>10</v>
      </c>
      <c r="C34" s="38"/>
      <c r="D34" s="38"/>
      <c r="E34" s="38"/>
      <c r="F34" s="43">
        <f>F32+C33*F32</f>
        <v>2.7852000000000001</v>
      </c>
    </row>
    <row r="35" spans="2:6" ht="20">
      <c r="B35" s="50" t="s">
        <v>13</v>
      </c>
      <c r="C35" s="48"/>
      <c r="D35" s="48"/>
      <c r="E35" s="48"/>
      <c r="F35" s="47">
        <v>5.5</v>
      </c>
    </row>
    <row r="36" spans="2:6" ht="20">
      <c r="B36" s="51" t="s">
        <v>483</v>
      </c>
      <c r="C36" s="49"/>
      <c r="D36" s="49"/>
      <c r="E36" s="49"/>
      <c r="F36" s="116">
        <f>(F38-F34)/F38</f>
        <v>0.81818181818181823</v>
      </c>
    </row>
    <row r="37" spans="2:6" ht="20">
      <c r="B37" s="205" t="s">
        <v>484</v>
      </c>
      <c r="C37" s="206"/>
      <c r="D37" s="206"/>
      <c r="E37" s="206"/>
      <c r="F37" s="207" t="s">
        <v>482</v>
      </c>
    </row>
    <row r="38" spans="2:6" ht="19">
      <c r="B38" s="37" t="s">
        <v>11</v>
      </c>
      <c r="C38" s="14"/>
      <c r="D38" s="14"/>
      <c r="E38" s="14"/>
      <c r="F38" s="44">
        <f>F34*F35</f>
        <v>15.3186</v>
      </c>
    </row>
    <row r="39" spans="2:6" ht="20" thickBot="1">
      <c r="B39" s="41" t="s">
        <v>12</v>
      </c>
      <c r="C39" s="18"/>
      <c r="D39" s="18"/>
      <c r="E39" s="18"/>
      <c r="F39" s="45">
        <f>F38-F34</f>
        <v>12.5334</v>
      </c>
    </row>
    <row r="41" spans="2:6" ht="15" thickBot="1"/>
    <row r="42" spans="2:6" ht="26">
      <c r="B42" s="248" t="s">
        <v>301</v>
      </c>
      <c r="C42" s="249"/>
      <c r="D42" s="249"/>
      <c r="E42" s="249"/>
      <c r="F42" s="250"/>
    </row>
    <row r="43" spans="2:6" ht="19">
      <c r="B43" s="146" t="s">
        <v>314</v>
      </c>
      <c r="C43" s="102"/>
      <c r="D43" s="102"/>
      <c r="E43" s="102"/>
      <c r="F43" s="147"/>
    </row>
    <row r="44" spans="2:6" ht="20" thickBot="1">
      <c r="B44" s="148" t="s">
        <v>315</v>
      </c>
      <c r="C44" s="149"/>
      <c r="D44" s="149"/>
      <c r="E44" s="149"/>
      <c r="F44" s="150"/>
    </row>
    <row r="45" spans="2:6">
      <c r="B45" s="30"/>
      <c r="C45" s="54"/>
      <c r="D45" s="54"/>
      <c r="E45" s="54"/>
      <c r="F45" s="54"/>
    </row>
    <row r="46" spans="2:6">
      <c r="B46" s="30"/>
      <c r="C46" s="54"/>
      <c r="D46" s="54"/>
      <c r="E46" s="54"/>
      <c r="F46" s="54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</row>
    <row r="54" spans="2:6">
      <c r="B54" s="30"/>
    </row>
    <row r="55" spans="2:6">
      <c r="B55" s="30"/>
    </row>
    <row r="56" spans="2:6">
      <c r="B56" s="30"/>
    </row>
  </sheetData>
  <mergeCells count="4">
    <mergeCell ref="B7:F7"/>
    <mergeCell ref="B9:F9"/>
    <mergeCell ref="B11:F11"/>
    <mergeCell ref="B42:F42"/>
  </mergeCells>
  <dataValidations count="1">
    <dataValidation type="list" allowBlank="1" showInputMessage="1" showErrorMessage="1" sqref="B9" xr:uid="{05F1513C-3688-2C4B-85E1-28B2C6B867AB}">
      <formula1>"Cocktail,Mocktail,Desserts,Entrées chaudes,Entrées froides,Pâtes en Folie,Pâtes classiques"</formula1>
    </dataValidation>
  </dataValidations>
  <pageMargins left="0.25" right="0.25" top="0.75" bottom="0.75" header="0.3" footer="0.3"/>
  <pageSetup paperSize="9" scale="71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3BF047-B0E0-ED4A-9E4E-6850F2863E5C}">
          <x14:formula1>
            <xm:f>'Liste des fournisseurs'!$B$12:$B$307</xm:f>
          </x14:formula1>
          <xm:sqref>B27:B30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046B-B928-8F41-B4E2-C7F9E7057216}">
  <dimension ref="B6:F56"/>
  <sheetViews>
    <sheetView topLeftCell="A20" zoomScale="132" workbookViewId="0">
      <selection activeCell="B27" sqref="B27"/>
    </sheetView>
  </sheetViews>
  <sheetFormatPr baseColWidth="10" defaultRowHeight="14"/>
  <cols>
    <col min="1" max="1" width="10.83203125" style="11"/>
    <col min="2" max="2" width="35.83203125" style="9" bestFit="1" customWidth="1"/>
    <col min="3" max="3" width="10.6640625" style="10" customWidth="1"/>
    <col min="4" max="4" width="23" style="10" customWidth="1"/>
    <col min="5" max="5" width="29.5" style="10" customWidth="1"/>
    <col min="6" max="6" width="24.1640625" style="10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274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457</v>
      </c>
      <c r="C11" s="231"/>
      <c r="D11" s="231"/>
      <c r="E11" s="231"/>
      <c r="F11" s="232"/>
    </row>
    <row r="12" spans="2:6">
      <c r="B12" s="12"/>
    </row>
    <row r="13" spans="2:6" ht="22">
      <c r="B13" s="60" t="s">
        <v>292</v>
      </c>
      <c r="C13" s="22">
        <v>1</v>
      </c>
    </row>
    <row r="14" spans="2:6" ht="21">
      <c r="B14" s="23"/>
      <c r="C14" s="24"/>
    </row>
    <row r="15" spans="2:6" ht="22">
      <c r="B15" s="21" t="s">
        <v>1</v>
      </c>
      <c r="C15" s="52">
        <f>(C16*F38)+F38</f>
        <v>17.026944</v>
      </c>
    </row>
    <row r="16" spans="2:6" ht="22">
      <c r="B16" s="21" t="s">
        <v>2</v>
      </c>
      <c r="C16" s="26">
        <v>0.16</v>
      </c>
    </row>
    <row r="17" spans="2:6" ht="21">
      <c r="B17" s="27"/>
      <c r="C17" s="24"/>
      <c r="E17" s="53"/>
    </row>
    <row r="18" spans="2:6" ht="19">
      <c r="B18" s="62" t="s">
        <v>294</v>
      </c>
      <c r="C18" s="11"/>
    </row>
    <row r="19" spans="2:6" ht="20" thickBot="1">
      <c r="B19" s="63" t="s">
        <v>295</v>
      </c>
      <c r="C19" s="11"/>
    </row>
    <row r="20" spans="2:6" ht="21" thickTop="1" thickBot="1">
      <c r="B20" s="63" t="s">
        <v>296</v>
      </c>
      <c r="C20" s="105"/>
    </row>
    <row r="21" spans="2:6" ht="20" thickTop="1">
      <c r="B21" s="63" t="s">
        <v>297</v>
      </c>
      <c r="C21" s="11"/>
    </row>
    <row r="22" spans="2:6">
      <c r="B22" s="11"/>
      <c r="C22" s="11"/>
    </row>
    <row r="23" spans="2:6">
      <c r="B23" s="11"/>
      <c r="C23" s="11"/>
    </row>
    <row r="24" spans="2:6" ht="19">
      <c r="B24" s="62" t="s">
        <v>298</v>
      </c>
      <c r="C24" s="62" t="s">
        <v>299</v>
      </c>
    </row>
    <row r="25" spans="2:6" ht="15" thickBot="1">
      <c r="B25" s="12"/>
    </row>
    <row r="26" spans="2:6" ht="43" customHeight="1" thickBot="1">
      <c r="B26" s="28" t="s">
        <v>3</v>
      </c>
      <c r="C26" s="29" t="s">
        <v>94</v>
      </c>
      <c r="D26" s="29" t="s">
        <v>5</v>
      </c>
      <c r="E26" s="29" t="s">
        <v>4</v>
      </c>
      <c r="F26" s="29" t="s">
        <v>6</v>
      </c>
    </row>
    <row r="27" spans="2:6" ht="17">
      <c r="B27" s="8" t="s">
        <v>141</v>
      </c>
      <c r="C27" s="5" t="str">
        <f>_xlfn.XLOOKUP(Tableau5712314161820222432343638123[[#This Row],[Article]],'Liste des fournisseurs'!$B$12:$B$307,'Liste des fournisseurs'!$C$12:$C$307,"")</f>
        <v>cl</v>
      </c>
      <c r="D27" s="20">
        <v>6</v>
      </c>
      <c r="E27" s="6">
        <f>_xlfn.XLOOKUP(Tableau5712314161820222432343638123[[#This Row],[Article]],'Liste des fournisseurs'!$B$12:$B$307,'Liste des fournisseurs'!$F$12:$F$307,"")</f>
        <v>0.41466666666666668</v>
      </c>
      <c r="F27" s="7">
        <f>IFERROR(Tableau5712314161820222432343638123[[#This Row],[Coût d''achat HT à l''unité]]*Tableau5712314161820222432343638123[[#This Row],[Unités nécessaires]],"")</f>
        <v>2.488</v>
      </c>
    </row>
    <row r="28" spans="2:6" ht="17">
      <c r="B28" s="8" t="s">
        <v>118</v>
      </c>
      <c r="C28" s="5" t="str">
        <f>_xlfn.XLOOKUP(Tableau5712314161820222432343638123[[#This Row],[Article]],'Liste des fournisseurs'!$B$12:$B$307,'Liste des fournisseurs'!$C$12:$C$307,"")</f>
        <v>cl</v>
      </c>
      <c r="D28" s="20">
        <v>1.5</v>
      </c>
      <c r="E28" s="6">
        <f>_xlfn.XLOOKUP(Tableau5712314161820222432343638123[[#This Row],[Article]],'Liste des fournisseurs'!$B$12:$B$307,'Liste des fournisseurs'!$F$12:$F$307,"")</f>
        <v>0.17499999999999999</v>
      </c>
      <c r="F28" s="7">
        <f>IFERROR(Tableau5712314161820222432343638123[[#This Row],[Coût d''achat HT à l''unité]]*Tableau5712314161820222432343638123[[#This Row],[Unités nécessaires]],"")</f>
        <v>0.26249999999999996</v>
      </c>
    </row>
    <row r="29" spans="2:6" ht="17">
      <c r="B29" s="8" t="s">
        <v>126</v>
      </c>
      <c r="C29" s="5" t="str">
        <f>_xlfn.XLOOKUP(Tableau5712314161820222432343638123[[#This Row],[Article]],'Liste des fournisseurs'!$B$12:$B$307,'Liste des fournisseurs'!$C$12:$C$307,"")</f>
        <v>cl</v>
      </c>
      <c r="D29" s="20">
        <v>1.5</v>
      </c>
      <c r="E29" s="6">
        <f>_xlfn.XLOOKUP(Tableau5712314161820222432343638123[[#This Row],[Article]],'Liste des fournisseurs'!$B$12:$B$307,'Liste des fournisseurs'!$F$12:$F$307,"")</f>
        <v>0.20499999999999999</v>
      </c>
      <c r="F29" s="7">
        <f>IFERROR(Tableau5712314161820222432343638123[[#This Row],[Coût d''achat HT à l''unité]]*Tableau5712314161820222432343638123[[#This Row],[Unités nécessaires]],"")</f>
        <v>0.3075</v>
      </c>
    </row>
    <row r="30" spans="2:6" ht="16">
      <c r="B30" s="8"/>
      <c r="C30" s="5" t="str">
        <f>_xlfn.XLOOKUP(Tableau5712314161820222432343638123[[#This Row],[Article]],'Liste des fournisseurs'!$B$12:$B$307,'Liste des fournisseurs'!$C$12:$C$307,"")</f>
        <v/>
      </c>
      <c r="D30" s="20"/>
      <c r="E30" s="6" t="str">
        <f>_xlfn.XLOOKUP(Tableau5712314161820222432343638123[[#This Row],[Article]],'Liste des fournisseurs'!$B$12:$B$307,'Liste des fournisseurs'!$F$12:$F$307,"")</f>
        <v/>
      </c>
      <c r="F30" s="7" t="str">
        <f>IFERROR(Tableau5712314161820222432343638123[[#This Row],[Coût d''achat HT à l''unité]]*Tableau5712314161820222432343638123[[#This Row],[Unités nécessaires]],"")</f>
        <v/>
      </c>
    </row>
    <row r="31" spans="2:6" ht="17">
      <c r="B31" s="34" t="s">
        <v>7</v>
      </c>
      <c r="C31" s="35"/>
      <c r="D31" s="35"/>
      <c r="E31" s="35"/>
      <c r="F31" s="42">
        <f>SUM(Tableau5712314161820222432343638123[Prix de revient HT])</f>
        <v>3.0579999999999998</v>
      </c>
    </row>
    <row r="32" spans="2:6" ht="34">
      <c r="B32" s="37" t="s">
        <v>8</v>
      </c>
      <c r="C32" s="38"/>
      <c r="D32" s="38"/>
      <c r="E32" s="38"/>
      <c r="F32" s="43">
        <f>F31/C13</f>
        <v>3.0579999999999998</v>
      </c>
    </row>
    <row r="33" spans="2:6" ht="17">
      <c r="B33" s="37" t="s">
        <v>9</v>
      </c>
      <c r="C33" s="40">
        <v>0.2</v>
      </c>
      <c r="D33" s="38"/>
      <c r="E33" s="38"/>
      <c r="F33" s="43">
        <f>SUM(F27:F30)</f>
        <v>3.0579999999999998</v>
      </c>
    </row>
    <row r="34" spans="2:6" ht="34">
      <c r="B34" s="37" t="s">
        <v>10</v>
      </c>
      <c r="C34" s="38"/>
      <c r="D34" s="38"/>
      <c r="E34" s="38"/>
      <c r="F34" s="43">
        <f>F32+C33*F32</f>
        <v>3.6696</v>
      </c>
    </row>
    <row r="35" spans="2:6" ht="20">
      <c r="B35" s="50" t="s">
        <v>13</v>
      </c>
      <c r="C35" s="48"/>
      <c r="D35" s="48"/>
      <c r="E35" s="48"/>
      <c r="F35" s="47">
        <v>4</v>
      </c>
    </row>
    <row r="36" spans="2:6" ht="20">
      <c r="B36" s="51" t="s">
        <v>483</v>
      </c>
      <c r="C36" s="49"/>
      <c r="D36" s="49"/>
      <c r="E36" s="49"/>
      <c r="F36" s="116">
        <f>(F38-F34)/F38</f>
        <v>0.75000000000000011</v>
      </c>
    </row>
    <row r="37" spans="2:6" ht="20">
      <c r="B37" s="205" t="s">
        <v>484</v>
      </c>
      <c r="C37" s="206"/>
      <c r="D37" s="206"/>
      <c r="E37" s="206"/>
      <c r="F37" s="207" t="s">
        <v>482</v>
      </c>
    </row>
    <row r="38" spans="2:6" ht="19">
      <c r="B38" s="37" t="s">
        <v>11</v>
      </c>
      <c r="C38" s="14"/>
      <c r="D38" s="14"/>
      <c r="E38" s="14"/>
      <c r="F38" s="44">
        <f>F34*F35</f>
        <v>14.6784</v>
      </c>
    </row>
    <row r="39" spans="2:6" ht="20" thickBot="1">
      <c r="B39" s="41" t="s">
        <v>12</v>
      </c>
      <c r="C39" s="18"/>
      <c r="D39" s="18"/>
      <c r="E39" s="18"/>
      <c r="F39" s="45">
        <f>F38-F34</f>
        <v>11.008800000000001</v>
      </c>
    </row>
    <row r="41" spans="2:6" ht="15" thickBot="1"/>
    <row r="42" spans="2:6" ht="26">
      <c r="B42" s="248" t="s">
        <v>301</v>
      </c>
      <c r="C42" s="249"/>
      <c r="D42" s="249"/>
      <c r="E42" s="249"/>
      <c r="F42" s="250"/>
    </row>
    <row r="43" spans="2:6" ht="19">
      <c r="B43" s="146"/>
      <c r="C43" s="102"/>
      <c r="D43" s="102"/>
      <c r="E43" s="102"/>
      <c r="F43" s="147"/>
    </row>
    <row r="44" spans="2:6" ht="20" thickBot="1">
      <c r="B44" s="148"/>
      <c r="C44" s="149"/>
      <c r="D44" s="149"/>
      <c r="E44" s="149"/>
      <c r="F44" s="150"/>
    </row>
    <row r="45" spans="2:6">
      <c r="B45" s="30"/>
      <c r="C45" s="54"/>
      <c r="D45" s="54"/>
      <c r="E45" s="54"/>
      <c r="F45" s="54"/>
    </row>
    <row r="46" spans="2:6">
      <c r="B46" s="30"/>
      <c r="C46" s="54"/>
      <c r="D46" s="54"/>
      <c r="E46" s="54"/>
      <c r="F46" s="54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</row>
    <row r="54" spans="2:6">
      <c r="B54" s="30"/>
    </row>
    <row r="55" spans="2:6">
      <c r="B55" s="30"/>
    </row>
    <row r="56" spans="2:6">
      <c r="B56" s="30"/>
    </row>
  </sheetData>
  <mergeCells count="4">
    <mergeCell ref="B7:F7"/>
    <mergeCell ref="B9:F9"/>
    <mergeCell ref="B11:F11"/>
    <mergeCell ref="B42:F42"/>
  </mergeCells>
  <dataValidations count="1">
    <dataValidation type="list" allowBlank="1" showInputMessage="1" showErrorMessage="1" sqref="B9" xr:uid="{70966E46-DF48-CC49-B7C1-E92E2A8E2250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DF9FD7-F09C-D945-9F8E-A6795D30FB42}">
          <x14:formula1>
            <xm:f>'Liste des fournisseurs'!$B$12:$B$307</xm:f>
          </x14:formula1>
          <xm:sqref>B27:B30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2465-D819-E447-8609-1C91B1A687ED}">
  <dimension ref="B6:F57"/>
  <sheetViews>
    <sheetView topLeftCell="A31" zoomScale="125" workbookViewId="0">
      <selection activeCell="F37" sqref="F37"/>
    </sheetView>
  </sheetViews>
  <sheetFormatPr baseColWidth="10" defaultRowHeight="14"/>
  <cols>
    <col min="1" max="1" width="10.83203125" style="11"/>
    <col min="2" max="2" width="35.83203125" style="9" bestFit="1" customWidth="1"/>
    <col min="3" max="3" width="10.6640625" style="10" customWidth="1"/>
    <col min="4" max="4" width="23" style="10" customWidth="1"/>
    <col min="5" max="5" width="29.5" style="10" customWidth="1"/>
    <col min="6" max="6" width="24.1640625" style="10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273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459</v>
      </c>
      <c r="C11" s="231"/>
      <c r="D11" s="231"/>
      <c r="E11" s="231"/>
      <c r="F11" s="232"/>
    </row>
    <row r="12" spans="2:6">
      <c r="B12" s="12"/>
    </row>
    <row r="13" spans="2:6" ht="22">
      <c r="B13" s="60" t="s">
        <v>292</v>
      </c>
      <c r="C13" s="22">
        <v>1</v>
      </c>
    </row>
    <row r="14" spans="2:6" ht="21">
      <c r="B14" s="23"/>
      <c r="C14" s="24"/>
    </row>
    <row r="15" spans="2:6" ht="22">
      <c r="B15" s="21" t="s">
        <v>1</v>
      </c>
      <c r="C15" s="52">
        <f>(C16*F39)+F39</f>
        <v>12.018846171428573</v>
      </c>
    </row>
    <row r="16" spans="2:6" ht="22">
      <c r="B16" s="21" t="s">
        <v>2</v>
      </c>
      <c r="C16" s="26">
        <v>0.16</v>
      </c>
    </row>
    <row r="17" spans="2:6" ht="21">
      <c r="B17" s="27"/>
      <c r="C17" s="24"/>
      <c r="E17" s="53"/>
    </row>
    <row r="18" spans="2:6" ht="20" thickBot="1">
      <c r="B18" s="62" t="s">
        <v>294</v>
      </c>
      <c r="C18" s="11"/>
    </row>
    <row r="19" spans="2:6" ht="21" thickTop="1" thickBot="1">
      <c r="B19" s="63" t="s">
        <v>295</v>
      </c>
      <c r="C19" s="105"/>
    </row>
    <row r="20" spans="2:6" ht="20" thickTop="1">
      <c r="B20" s="63" t="s">
        <v>296</v>
      </c>
      <c r="C20" s="11"/>
    </row>
    <row r="21" spans="2:6" ht="19">
      <c r="B21" s="63" t="s">
        <v>297</v>
      </c>
      <c r="C21" s="11"/>
    </row>
    <row r="22" spans="2:6">
      <c r="B22" s="11"/>
      <c r="C22" s="11"/>
    </row>
    <row r="23" spans="2:6">
      <c r="B23" s="11"/>
      <c r="C23" s="11"/>
    </row>
    <row r="24" spans="2:6" ht="19">
      <c r="B24" s="62" t="s">
        <v>298</v>
      </c>
      <c r="C24" s="62"/>
    </row>
    <row r="25" spans="2:6" ht="15" thickBot="1">
      <c r="B25" s="12"/>
    </row>
    <row r="26" spans="2:6" ht="43" customHeight="1" thickBot="1">
      <c r="B26" s="28" t="s">
        <v>3</v>
      </c>
      <c r="C26" s="29" t="s">
        <v>94</v>
      </c>
      <c r="D26" s="29" t="s">
        <v>5</v>
      </c>
      <c r="E26" s="29" t="s">
        <v>4</v>
      </c>
      <c r="F26" s="29" t="s">
        <v>6</v>
      </c>
    </row>
    <row r="27" spans="2:6" ht="17">
      <c r="B27" s="8" t="s">
        <v>385</v>
      </c>
      <c r="C27" s="5" t="str">
        <f>_xlfn.XLOOKUP(Tableau57123141618202224323436381234[[#This Row],[Article]],'Liste des fournisseurs'!$B$12:$B$307,'Liste des fournisseurs'!$C$12:$C$307,"")</f>
        <v>cl</v>
      </c>
      <c r="D27" s="20">
        <v>3</v>
      </c>
      <c r="E27" s="6">
        <f>_xlfn.XLOOKUP(Tableau57123141618202224323436381234[[#This Row],[Article]],'Liste des fournisseurs'!$B$12:$B$307,'Liste des fournisseurs'!$F$12:$F$307,"")</f>
        <v>0.17142857142857143</v>
      </c>
      <c r="F27" s="7">
        <f>IFERROR(Tableau57123141618202224323436381234[[#This Row],[Coût d''achat HT à l''unité]]*Tableau57123141618202224323436381234[[#This Row],[Unités nécessaires]],"")</f>
        <v>0.51428571428571423</v>
      </c>
    </row>
    <row r="28" spans="2:6" ht="17">
      <c r="B28" s="8" t="s">
        <v>382</v>
      </c>
      <c r="C28" s="5" t="str">
        <f>_xlfn.XLOOKUP(Tableau57123141618202224323436381234[[#This Row],[Article]],'Liste des fournisseurs'!$B$12:$B$307,'Liste des fournisseurs'!$C$12:$C$307,"")</f>
        <v>cl</v>
      </c>
      <c r="D28" s="20">
        <v>1.5</v>
      </c>
      <c r="E28" s="6">
        <f>_xlfn.XLOOKUP(Tableau57123141618202224323436381234[[#This Row],[Article]],'Liste des fournisseurs'!$B$12:$B$307,'Liste des fournisseurs'!$F$12:$F$307,"")</f>
        <v>0.17142857142857143</v>
      </c>
      <c r="F28" s="7">
        <f>IFERROR(Tableau57123141618202224323436381234[[#This Row],[Coût d''achat HT à l''unité]]*Tableau57123141618202224323436381234[[#This Row],[Unités nécessaires]],"")</f>
        <v>0.25714285714285712</v>
      </c>
    </row>
    <row r="29" spans="2:6" ht="17">
      <c r="B29" s="8" t="s">
        <v>247</v>
      </c>
      <c r="C29" s="5" t="str">
        <f>_xlfn.XLOOKUP(Tableau57123141618202224323436381234[[#This Row],[Article]],'Liste des fournisseurs'!$B$12:$B$307,'Liste des fournisseurs'!$C$12:$C$307,"")</f>
        <v>cl</v>
      </c>
      <c r="D29" s="20">
        <v>15</v>
      </c>
      <c r="E29" s="6">
        <f>_xlfn.XLOOKUP(Tableau57123141618202224323436381234[[#This Row],[Article]],'Liste des fournisseurs'!$B$12:$B$307,'Liste des fournisseurs'!$F$12:$F$307,"")</f>
        <v>2.6800000000000001E-2</v>
      </c>
      <c r="F29" s="7">
        <f>IFERROR(Tableau57123141618202224323436381234[[#This Row],[Coût d''achat HT à l''unité]]*Tableau57123141618202224323436381234[[#This Row],[Unités nécessaires]],"")</f>
        <v>0.40200000000000002</v>
      </c>
    </row>
    <row r="30" spans="2:6" ht="17">
      <c r="B30" s="8" t="s">
        <v>173</v>
      </c>
      <c r="C30" s="5" t="str">
        <f>_xlfn.XLOOKUP(Tableau57123141618202224323436381234[[#This Row],[Article]],'Liste des fournisseurs'!$B$12:$B$307,'Liste des fournisseurs'!$C$12:$C$307,"")</f>
        <v>cl</v>
      </c>
      <c r="D30" s="20">
        <v>3</v>
      </c>
      <c r="E30" s="6">
        <f>_xlfn.XLOOKUP(Tableau57123141618202224323436381234[[#This Row],[Article]],'Liste des fournisseurs'!$B$12:$B$307,'Liste des fournisseurs'!$F$12:$F$307,"")</f>
        <v>0.09</v>
      </c>
      <c r="F30" s="7">
        <f>IFERROR(Tableau57123141618202224323436381234[[#This Row],[Coût d''achat HT à l''unité]]*Tableau57123141618202224323436381234[[#This Row],[Unités nécessaires]],"")</f>
        <v>0.27</v>
      </c>
    </row>
    <row r="31" spans="2:6" ht="17">
      <c r="B31" s="8" t="s">
        <v>276</v>
      </c>
      <c r="C31" s="5" t="str">
        <f>_xlfn.XLOOKUP(Tableau57123141618202224323436381234[[#This Row],[Article]],'Liste des fournisseurs'!$B$12:$B$307,'Liste des fournisseurs'!$C$12:$C$307,"")</f>
        <v>cl</v>
      </c>
      <c r="D31" s="20">
        <v>1</v>
      </c>
      <c r="E31" s="6">
        <f>_xlfn.XLOOKUP(Tableau57123141618202224323436381234[[#This Row],[Article]],'Liste des fournisseurs'!$B$12:$B$307,'Liste des fournisseurs'!$F$12:$F$307,"")</f>
        <v>0.02</v>
      </c>
      <c r="F31" s="7">
        <f>IFERROR(Tableau57123141618202224323436381234[[#This Row],[Coût d''achat HT à l''unité]]*Tableau57123141618202224323436381234[[#This Row],[Unités nécessaires]],"")</f>
        <v>0.02</v>
      </c>
    </row>
    <row r="32" spans="2:6" ht="17">
      <c r="B32" s="34" t="s">
        <v>7</v>
      </c>
      <c r="C32" s="35"/>
      <c r="D32" s="35"/>
      <c r="E32" s="35"/>
      <c r="F32" s="42">
        <f>SUM(Tableau57123141618202224323436381234[Prix de revient HT])</f>
        <v>1.4634285714285715</v>
      </c>
    </row>
    <row r="33" spans="2:6" ht="34">
      <c r="B33" s="37" t="s">
        <v>8</v>
      </c>
      <c r="C33" s="38"/>
      <c r="D33" s="38"/>
      <c r="E33" s="38"/>
      <c r="F33" s="43">
        <f>F32/C13</f>
        <v>1.4634285714285715</v>
      </c>
    </row>
    <row r="34" spans="2:6" ht="17">
      <c r="B34" s="37" t="s">
        <v>9</v>
      </c>
      <c r="C34" s="40">
        <v>0.2</v>
      </c>
      <c r="D34" s="38"/>
      <c r="E34" s="38"/>
      <c r="F34" s="43">
        <f>SUM(F27:F31)</f>
        <v>1.4634285714285715</v>
      </c>
    </row>
    <row r="35" spans="2:6" ht="34">
      <c r="B35" s="37" t="s">
        <v>10</v>
      </c>
      <c r="C35" s="38"/>
      <c r="D35" s="38"/>
      <c r="E35" s="38"/>
      <c r="F35" s="43">
        <f>F33+C34*F33</f>
        <v>1.7561142857142857</v>
      </c>
    </row>
    <row r="36" spans="2:6" ht="20">
      <c r="B36" s="50" t="s">
        <v>13</v>
      </c>
      <c r="C36" s="48"/>
      <c r="D36" s="48"/>
      <c r="E36" s="48"/>
      <c r="F36" s="47">
        <v>5.9</v>
      </c>
    </row>
    <row r="37" spans="2:6" ht="20">
      <c r="B37" s="51" t="s">
        <v>483</v>
      </c>
      <c r="C37" s="49"/>
      <c r="D37" s="49"/>
      <c r="E37" s="49"/>
      <c r="F37" s="116">
        <f>(F39-F35)/F39</f>
        <v>0.83050847457627119</v>
      </c>
    </row>
    <row r="38" spans="2:6" ht="20">
      <c r="B38" s="205" t="s">
        <v>484</v>
      </c>
      <c r="C38" s="206"/>
      <c r="D38" s="206"/>
      <c r="E38" s="206"/>
      <c r="F38" s="207" t="s">
        <v>482</v>
      </c>
    </row>
    <row r="39" spans="2:6" ht="19">
      <c r="B39" s="37" t="s">
        <v>11</v>
      </c>
      <c r="C39" s="14"/>
      <c r="D39" s="14"/>
      <c r="E39" s="14"/>
      <c r="F39" s="44">
        <f>F35*F36</f>
        <v>10.361074285714286</v>
      </c>
    </row>
    <row r="40" spans="2:6" ht="20" thickBot="1">
      <c r="B40" s="41" t="s">
        <v>12</v>
      </c>
      <c r="C40" s="18"/>
      <c r="D40" s="18"/>
      <c r="E40" s="18"/>
      <c r="F40" s="45">
        <f>F39-F35</f>
        <v>8.6049600000000002</v>
      </c>
    </row>
    <row r="42" spans="2:6" ht="15" thickBot="1"/>
    <row r="43" spans="2:6" ht="26">
      <c r="B43" s="248" t="s">
        <v>301</v>
      </c>
      <c r="C43" s="249"/>
      <c r="D43" s="249"/>
      <c r="E43" s="249"/>
      <c r="F43" s="250"/>
    </row>
    <row r="44" spans="2:6" ht="19">
      <c r="B44" s="146"/>
      <c r="C44" s="102"/>
      <c r="D44" s="102"/>
      <c r="E44" s="102"/>
      <c r="F44" s="147"/>
    </row>
    <row r="45" spans="2:6" ht="20" thickBot="1">
      <c r="B45" s="148"/>
      <c r="C45" s="149"/>
      <c r="D45" s="149"/>
      <c r="E45" s="149"/>
      <c r="F45" s="150"/>
    </row>
    <row r="46" spans="2:6">
      <c r="B46" s="30"/>
      <c r="C46" s="54"/>
      <c r="D46" s="54"/>
      <c r="E46" s="54"/>
      <c r="F46" s="54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</row>
    <row r="55" spans="2:6">
      <c r="B55" s="30"/>
    </row>
    <row r="56" spans="2:6">
      <c r="B56" s="30"/>
    </row>
    <row r="57" spans="2:6">
      <c r="B57" s="30"/>
    </row>
  </sheetData>
  <mergeCells count="4">
    <mergeCell ref="B7:F7"/>
    <mergeCell ref="B9:F9"/>
    <mergeCell ref="B11:F11"/>
    <mergeCell ref="B43:F43"/>
  </mergeCells>
  <dataValidations count="1">
    <dataValidation type="list" allowBlank="1" showInputMessage="1" showErrorMessage="1" sqref="B9" xr:uid="{D52B250E-1322-724A-9132-1F59999813F4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43C256-FC0D-2048-A96C-E941B9F4BCC3}">
          <x14:formula1>
            <xm:f>'Liste des fournisseurs'!$B$12:$B$307</xm:f>
          </x14:formula1>
          <xm:sqref>B27:B31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AA51-CA8A-2644-A19D-B8651C8DD7D2}">
  <dimension ref="B6:F58"/>
  <sheetViews>
    <sheetView topLeftCell="A16" workbookViewId="0">
      <selection activeCell="B38" sqref="B38:B39"/>
    </sheetView>
  </sheetViews>
  <sheetFormatPr baseColWidth="10" defaultRowHeight="14"/>
  <cols>
    <col min="1" max="1" width="10.83203125" style="11"/>
    <col min="2" max="2" width="39" style="9" customWidth="1"/>
    <col min="3" max="3" width="17.83203125" style="10" customWidth="1"/>
    <col min="4" max="4" width="24.33203125" style="10" customWidth="1"/>
    <col min="5" max="5" width="33.1640625" style="10" customWidth="1"/>
    <col min="6" max="6" width="24.1640625" style="10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274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459</v>
      </c>
      <c r="C11" s="231"/>
      <c r="D11" s="231"/>
      <c r="E11" s="231"/>
      <c r="F11" s="232"/>
    </row>
    <row r="12" spans="2:6">
      <c r="B12" s="12"/>
    </row>
    <row r="13" spans="2:6" ht="22">
      <c r="B13" s="60" t="s">
        <v>292</v>
      </c>
      <c r="C13" s="22">
        <v>1</v>
      </c>
    </row>
    <row r="14" spans="2:6" ht="21">
      <c r="B14" s="23"/>
      <c r="C14" s="24"/>
    </row>
    <row r="15" spans="2:6" ht="22">
      <c r="B15" s="21" t="s">
        <v>1</v>
      </c>
      <c r="C15" s="52">
        <f>(C16*F40)+F40</f>
        <v>9.1506102857142864</v>
      </c>
    </row>
    <row r="16" spans="2:6" ht="22">
      <c r="B16" s="21" t="s">
        <v>2</v>
      </c>
      <c r="C16" s="26">
        <v>0.16</v>
      </c>
    </row>
    <row r="17" spans="2:6" ht="21">
      <c r="B17" s="27"/>
      <c r="C17" s="24"/>
      <c r="E17" s="53"/>
    </row>
    <row r="18" spans="2:6" ht="20" thickBot="1">
      <c r="B18" s="62" t="s">
        <v>294</v>
      </c>
      <c r="C18" s="11"/>
    </row>
    <row r="19" spans="2:6" ht="21" thickTop="1" thickBot="1">
      <c r="B19" s="63" t="s">
        <v>295</v>
      </c>
      <c r="C19" s="105" t="s">
        <v>458</v>
      </c>
    </row>
    <row r="20" spans="2:6" ht="20" thickTop="1">
      <c r="B20" s="63" t="s">
        <v>296</v>
      </c>
      <c r="C20" s="11"/>
    </row>
    <row r="21" spans="2:6" ht="19">
      <c r="B21" s="63" t="s">
        <v>297</v>
      </c>
      <c r="C21" s="11"/>
    </row>
    <row r="22" spans="2:6">
      <c r="B22" s="11"/>
      <c r="C22" s="11"/>
    </row>
    <row r="23" spans="2:6">
      <c r="B23" s="11"/>
      <c r="C23" s="11"/>
    </row>
    <row r="24" spans="2:6" ht="19">
      <c r="B24" s="62" t="s">
        <v>298</v>
      </c>
      <c r="C24" s="62"/>
    </row>
    <row r="25" spans="2:6" ht="15" thickBot="1">
      <c r="B25" s="12"/>
    </row>
    <row r="26" spans="2:6" ht="25" customHeight="1" thickBot="1">
      <c r="B26" s="28" t="s">
        <v>3</v>
      </c>
      <c r="C26" s="29" t="s">
        <v>94</v>
      </c>
      <c r="D26" s="29" t="s">
        <v>5</v>
      </c>
      <c r="E26" s="29" t="s">
        <v>4</v>
      </c>
      <c r="F26" s="29" t="s">
        <v>6</v>
      </c>
    </row>
    <row r="27" spans="2:6" ht="17">
      <c r="B27" s="8" t="s">
        <v>385</v>
      </c>
      <c r="C27" s="5" t="str">
        <f>_xlfn.XLOOKUP(Tableau571231416182022243234363812345[[#This Row],[Article]],'Liste des fournisseurs'!$B$12:$B$307,'Liste des fournisseurs'!$C$12:$C$307,"")</f>
        <v>cl</v>
      </c>
      <c r="D27" s="20">
        <v>3</v>
      </c>
      <c r="E27" s="6">
        <f>_xlfn.XLOOKUP(Tableau571231416182022243234363812345[[#This Row],[Article]],'Liste des fournisseurs'!$B$12:$B$307,'Liste des fournisseurs'!$F$12:$F$307,"")</f>
        <v>0.17142857142857143</v>
      </c>
      <c r="F27" s="7">
        <f>IFERROR(Tableau571231416182022243234363812345[[#This Row],[Coût d''achat HT à l''unité]]*Tableau571231416182022243234363812345[[#This Row],[Unités nécessaires]],"")</f>
        <v>0.51428571428571423</v>
      </c>
    </row>
    <row r="28" spans="2:6" ht="17">
      <c r="B28" s="8" t="s">
        <v>382</v>
      </c>
      <c r="C28" s="5" t="str">
        <f>_xlfn.XLOOKUP(Tableau571231416182022243234363812345[[#This Row],[Article]],'Liste des fournisseurs'!$B$12:$B$307,'Liste des fournisseurs'!$C$12:$C$307,"")</f>
        <v>cl</v>
      </c>
      <c r="D28" s="20">
        <v>1.5</v>
      </c>
      <c r="E28" s="6">
        <f>_xlfn.XLOOKUP(Tableau571231416182022243234363812345[[#This Row],[Article]],'Liste des fournisseurs'!$B$12:$B$307,'Liste des fournisseurs'!$F$12:$F$307,"")</f>
        <v>0.17142857142857143</v>
      </c>
      <c r="F28" s="7">
        <f>IFERROR(Tableau571231416182022243234363812345[[#This Row],[Coût d''achat HT à l''unité]]*Tableau571231416182022243234363812345[[#This Row],[Unités nécessaires]],"")</f>
        <v>0.25714285714285712</v>
      </c>
    </row>
    <row r="29" spans="2:6" ht="17">
      <c r="B29" s="8" t="s">
        <v>247</v>
      </c>
      <c r="C29" s="5" t="str">
        <f>_xlfn.XLOOKUP(Tableau571231416182022243234363812345[[#This Row],[Article]],'Liste des fournisseurs'!$B$12:$B$307,'Liste des fournisseurs'!$C$12:$C$307,"")</f>
        <v>cl</v>
      </c>
      <c r="D29" s="20">
        <v>15</v>
      </c>
      <c r="E29" s="6">
        <f>_xlfn.XLOOKUP(Tableau571231416182022243234363812345[[#This Row],[Article]],'Liste des fournisseurs'!$B$12:$B$307,'Liste des fournisseurs'!$F$12:$F$307,"")</f>
        <v>2.6800000000000001E-2</v>
      </c>
      <c r="F29" s="7">
        <f>IFERROR(Tableau571231416182022243234363812345[[#This Row],[Coût d''achat HT à l''unité]]*Tableau571231416182022243234363812345[[#This Row],[Unités nécessaires]],"")</f>
        <v>0.40200000000000002</v>
      </c>
    </row>
    <row r="30" spans="2:6" ht="17">
      <c r="B30" s="8" t="s">
        <v>173</v>
      </c>
      <c r="C30" s="5" t="str">
        <f>_xlfn.XLOOKUP(Tableau571231416182022243234363812345[[#This Row],[Article]],'Liste des fournisseurs'!$B$12:$B$307,'Liste des fournisseurs'!$C$12:$C$307,"")</f>
        <v>cl</v>
      </c>
      <c r="D30" s="20">
        <v>3</v>
      </c>
      <c r="E30" s="6">
        <f>_xlfn.XLOOKUP(Tableau571231416182022243234363812345[[#This Row],[Article]],'Liste des fournisseurs'!$B$12:$B$307,'Liste des fournisseurs'!$F$12:$F$307,"")</f>
        <v>0.09</v>
      </c>
      <c r="F30" s="7">
        <f>IFERROR(Tableau571231416182022243234363812345[[#This Row],[Coût d''achat HT à l''unité]]*Tableau571231416182022243234363812345[[#This Row],[Unités nécessaires]],"")</f>
        <v>0.27</v>
      </c>
    </row>
    <row r="31" spans="2:6" ht="17">
      <c r="B31" s="8" t="s">
        <v>114</v>
      </c>
      <c r="C31" s="5" t="str">
        <f>_xlfn.XLOOKUP(Tableau571231416182022243234363812345[[#This Row],[Article]],'Liste des fournisseurs'!$B$12:$B$307,'Liste des fournisseurs'!$C$12:$C$307,"")</f>
        <v>cl</v>
      </c>
      <c r="D31" s="20">
        <v>1.5</v>
      </c>
      <c r="E31" s="6">
        <f>_xlfn.XLOOKUP(Tableau571231416182022243234363812345[[#This Row],[Article]],'Liste des fournisseurs'!$B$12:$B$307,'Liste des fournisseurs'!$F$12:$F$307,"")</f>
        <v>0.12</v>
      </c>
      <c r="F31" s="7">
        <f>IFERROR(Tableau571231416182022243234363812345[[#This Row],[Coût d''achat HT à l''unité]]*Tableau571231416182022243234363812345[[#This Row],[Unités nécessaires]],"")</f>
        <v>0.18</v>
      </c>
    </row>
    <row r="32" spans="2:6" ht="17">
      <c r="B32" s="8" t="s">
        <v>276</v>
      </c>
      <c r="C32" s="5" t="str">
        <f>_xlfn.XLOOKUP(Tableau571231416182022243234363812345[[#This Row],[Article]],'Liste des fournisseurs'!$B$12:$B$307,'Liste des fournisseurs'!$C$12:$C$307,"")</f>
        <v>cl</v>
      </c>
      <c r="D32" s="20">
        <v>1</v>
      </c>
      <c r="E32" s="6">
        <f>_xlfn.XLOOKUP(Tableau571231416182022243234363812345[[#This Row],[Article]],'Liste des fournisseurs'!$B$12:$B$307,'Liste des fournisseurs'!$F$12:$F$307,"")</f>
        <v>0.02</v>
      </c>
      <c r="F32" s="7">
        <f>IFERROR(Tableau571231416182022243234363812345[[#This Row],[Coût d''achat HT à l''unité]]*Tableau571231416182022243234363812345[[#This Row],[Unités nécessaires]],"")</f>
        <v>0.02</v>
      </c>
    </row>
    <row r="33" spans="2:6" ht="17">
      <c r="B33" s="34" t="s">
        <v>7</v>
      </c>
      <c r="C33" s="35"/>
      <c r="D33" s="35"/>
      <c r="E33" s="35"/>
      <c r="F33" s="42">
        <f>SUM(Tableau571231416182022243234363812345[Prix de revient HT])</f>
        <v>1.6434285714285715</v>
      </c>
    </row>
    <row r="34" spans="2:6" ht="34">
      <c r="B34" s="37" t="s">
        <v>8</v>
      </c>
      <c r="C34" s="38"/>
      <c r="D34" s="38"/>
      <c r="E34" s="38"/>
      <c r="F34" s="43">
        <f>F33/C13</f>
        <v>1.6434285714285715</v>
      </c>
    </row>
    <row r="35" spans="2:6" ht="17">
      <c r="B35" s="37" t="s">
        <v>9</v>
      </c>
      <c r="C35" s="40">
        <v>0.2</v>
      </c>
      <c r="D35" s="38"/>
      <c r="E35" s="38"/>
      <c r="F35" s="43">
        <f>SUM(F27:F32)</f>
        <v>1.6434285714285715</v>
      </c>
    </row>
    <row r="36" spans="2:6" ht="34">
      <c r="B36" s="37" t="s">
        <v>10</v>
      </c>
      <c r="C36" s="38"/>
      <c r="D36" s="38"/>
      <c r="E36" s="38"/>
      <c r="F36" s="43">
        <f>F34+C35*F34</f>
        <v>1.9721142857142857</v>
      </c>
    </row>
    <row r="37" spans="2:6" ht="20">
      <c r="B37" s="50" t="s">
        <v>13</v>
      </c>
      <c r="C37" s="48"/>
      <c r="D37" s="48"/>
      <c r="E37" s="48"/>
      <c r="F37" s="47">
        <v>4</v>
      </c>
    </row>
    <row r="38" spans="2:6" ht="20">
      <c r="B38" s="51" t="s">
        <v>483</v>
      </c>
      <c r="C38" s="49"/>
      <c r="D38" s="49"/>
      <c r="E38" s="49"/>
      <c r="F38" s="116">
        <f>(F40-F36)/F40</f>
        <v>0.75</v>
      </c>
    </row>
    <row r="39" spans="2:6" ht="22" customHeight="1">
      <c r="B39" s="205" t="s">
        <v>484</v>
      </c>
      <c r="C39" s="206"/>
      <c r="D39" s="206"/>
      <c r="E39" s="206"/>
      <c r="F39" s="207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7.8884571428571428</v>
      </c>
    </row>
    <row r="41" spans="2:6" ht="20" thickBot="1">
      <c r="B41" s="41" t="s">
        <v>12</v>
      </c>
      <c r="C41" s="18"/>
      <c r="D41" s="18"/>
      <c r="E41" s="18"/>
      <c r="F41" s="45">
        <f>F40-F36</f>
        <v>5.9163428571428573</v>
      </c>
    </row>
    <row r="43" spans="2:6" ht="15" thickBot="1"/>
    <row r="44" spans="2:6" ht="26">
      <c r="B44" s="248" t="s">
        <v>301</v>
      </c>
      <c r="C44" s="249"/>
      <c r="D44" s="249"/>
      <c r="E44" s="249"/>
      <c r="F44" s="250"/>
    </row>
    <row r="45" spans="2:6" ht="19">
      <c r="B45" s="146"/>
      <c r="C45" s="102"/>
      <c r="D45" s="102"/>
      <c r="E45" s="102"/>
      <c r="F45" s="147"/>
    </row>
    <row r="46" spans="2:6" ht="20" thickBot="1">
      <c r="B46" s="148"/>
      <c r="C46" s="149"/>
      <c r="D46" s="149"/>
      <c r="E46" s="149"/>
      <c r="F46" s="150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7:F7"/>
    <mergeCell ref="B9:F9"/>
    <mergeCell ref="B11:F11"/>
    <mergeCell ref="B44:F44"/>
  </mergeCells>
  <dataValidations count="1">
    <dataValidation type="list" allowBlank="1" showInputMessage="1" showErrorMessage="1" sqref="B9" xr:uid="{6E5BFA36-DC9D-5144-A090-EF1285D5E237}">
      <formula1>"Cocktail,Mocktail,Desserts,Entrées chaudes,Entrées froides,Pâtes en Folie,Pâtes classiques"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A8A631-6275-B146-991F-34B6F9DA0C82}">
          <x14:formula1>
            <xm:f>'Liste des fournisseurs'!$B$12:$B$307</xm:f>
          </x14:formula1>
          <xm:sqref>B27:B32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79E6-FF25-F74D-96DB-DD906C6B7B53}">
  <dimension ref="B6:F58"/>
  <sheetViews>
    <sheetView topLeftCell="A13" zoomScale="114" workbookViewId="0">
      <selection activeCell="D30" sqref="D30"/>
    </sheetView>
  </sheetViews>
  <sheetFormatPr baseColWidth="10" defaultRowHeight="14"/>
  <cols>
    <col min="1" max="1" width="10.83203125" style="11"/>
    <col min="2" max="2" width="39.6640625" style="9" customWidth="1"/>
    <col min="3" max="3" width="10.6640625" style="10" customWidth="1"/>
    <col min="4" max="4" width="24.33203125" style="10" customWidth="1"/>
    <col min="5" max="5" width="33.1640625" style="10" customWidth="1"/>
    <col min="6" max="6" width="24.1640625" style="10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274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485</v>
      </c>
      <c r="C11" s="231"/>
      <c r="D11" s="231"/>
      <c r="E11" s="231"/>
      <c r="F11" s="232"/>
    </row>
    <row r="12" spans="2:6">
      <c r="B12" s="12"/>
    </row>
    <row r="13" spans="2:6" ht="22">
      <c r="B13" s="60" t="s">
        <v>292</v>
      </c>
      <c r="C13" s="22">
        <v>1</v>
      </c>
    </row>
    <row r="14" spans="2:6" ht="21">
      <c r="B14" s="23"/>
      <c r="C14" s="24"/>
    </row>
    <row r="15" spans="2:6" ht="22">
      <c r="B15" s="21" t="s">
        <v>1</v>
      </c>
      <c r="C15" s="52">
        <f>(C16*F40)+F40</f>
        <v>10.022400000000001</v>
      </c>
    </row>
    <row r="16" spans="2:6" ht="22">
      <c r="B16" s="21" t="s">
        <v>2</v>
      </c>
      <c r="C16" s="26">
        <v>0.16</v>
      </c>
    </row>
    <row r="17" spans="2:6" ht="21">
      <c r="B17" s="27"/>
      <c r="C17" s="24"/>
      <c r="E17" s="53"/>
    </row>
    <row r="18" spans="2:6" ht="20" thickBot="1">
      <c r="B18" s="62" t="s">
        <v>294</v>
      </c>
      <c r="C18" s="11"/>
    </row>
    <row r="19" spans="2:6" ht="21" thickTop="1" thickBot="1">
      <c r="B19" s="63" t="s">
        <v>295</v>
      </c>
      <c r="C19" s="105" t="s">
        <v>458</v>
      </c>
    </row>
    <row r="20" spans="2:6" ht="20" thickTop="1">
      <c r="B20" s="63" t="s">
        <v>296</v>
      </c>
      <c r="C20" s="11"/>
    </row>
    <row r="21" spans="2:6" ht="19">
      <c r="B21" s="63" t="s">
        <v>297</v>
      </c>
      <c r="C21" s="11"/>
    </row>
    <row r="22" spans="2:6">
      <c r="B22" s="11"/>
      <c r="C22" s="11"/>
    </row>
    <row r="23" spans="2:6">
      <c r="B23" s="11"/>
      <c r="C23" s="11"/>
    </row>
    <row r="24" spans="2:6" ht="19">
      <c r="B24" s="62" t="s">
        <v>298</v>
      </c>
      <c r="C24" s="62"/>
    </row>
    <row r="25" spans="2:6" ht="15" thickBot="1">
      <c r="B25" s="12"/>
    </row>
    <row r="26" spans="2:6" ht="30" customHeight="1" thickBot="1">
      <c r="B26" s="28" t="s">
        <v>3</v>
      </c>
      <c r="C26" s="29" t="s">
        <v>94</v>
      </c>
      <c r="D26" s="29" t="s">
        <v>5</v>
      </c>
      <c r="E26" s="29" t="s">
        <v>4</v>
      </c>
      <c r="F26" s="29" t="s">
        <v>6</v>
      </c>
    </row>
    <row r="27" spans="2:6" ht="17">
      <c r="B27" s="8" t="s">
        <v>177</v>
      </c>
      <c r="C27" s="5" t="str">
        <f>_xlfn.XLOOKUP(Tableau5712314161820222432343638123457[[#This Row],[Article]],'Liste des fournisseurs'!$B$12:$B$307,'Liste des fournisseurs'!$C$12:$C$307,"")</f>
        <v>cl</v>
      </c>
      <c r="D27" s="20">
        <v>1.5</v>
      </c>
      <c r="E27" s="6">
        <f>_xlfn.XLOOKUP(Tableau5712314161820222432343638123457[[#This Row],[Article]],'Liste des fournisseurs'!$B$12:$B$307,'Liste des fournisseurs'!$F$12:$F$307,"")</f>
        <v>0.21</v>
      </c>
      <c r="F27" s="7">
        <f>IFERROR(Tableau5712314161820222432343638123457[[#This Row],[Coût d''achat HT à l''unité]]*Tableau5712314161820222432343638123457[[#This Row],[Unités nécessaires]],"")</f>
        <v>0.315</v>
      </c>
    </row>
    <row r="28" spans="2:6" ht="17">
      <c r="B28" s="8" t="s">
        <v>424</v>
      </c>
      <c r="C28" s="5" t="str">
        <f>_xlfn.XLOOKUP(Tableau5712314161820222432343638123457[[#This Row],[Article]],'Liste des fournisseurs'!$B$12:$B$307,'Liste des fournisseurs'!$C$12:$C$307,"")</f>
        <v>cl</v>
      </c>
      <c r="D28" s="20">
        <v>1.5</v>
      </c>
      <c r="E28" s="6">
        <f>_xlfn.XLOOKUP(Tableau5712314161820222432343638123457[[#This Row],[Article]],'Liste des fournisseurs'!$B$12:$B$307,'Liste des fournisseurs'!$F$12:$F$307,"")</f>
        <v>0.14000000000000001</v>
      </c>
      <c r="F28" s="7">
        <f>IFERROR(Tableau5712314161820222432343638123457[[#This Row],[Coût d''achat HT à l''unité]]*Tableau5712314161820222432343638123457[[#This Row],[Unités nécessaires]],"")</f>
        <v>0.21000000000000002</v>
      </c>
    </row>
    <row r="29" spans="2:6" ht="17">
      <c r="B29" s="8" t="s">
        <v>175</v>
      </c>
      <c r="C29" s="5" t="str">
        <f>_xlfn.XLOOKUP(Tableau5712314161820222432343638123457[[#This Row],[Article]],'Liste des fournisseurs'!$B$12:$B$307,'Liste des fournisseurs'!$C$12:$C$307,"")</f>
        <v>cl</v>
      </c>
      <c r="D29" s="20">
        <v>15</v>
      </c>
      <c r="E29" s="6">
        <f>_xlfn.XLOOKUP(Tableau5712314161820222432343638123457[[#This Row],[Article]],'Liste des fournisseurs'!$B$12:$B$307,'Liste des fournisseurs'!$F$12:$F$307,"")</f>
        <v>2.5000000000000001E-2</v>
      </c>
      <c r="F29" s="7">
        <f>IFERROR(Tableau5712314161820222432343638123457[[#This Row],[Coût d''achat HT à l''unité]]*Tableau5712314161820222432343638123457[[#This Row],[Unités nécessaires]],"")</f>
        <v>0.375</v>
      </c>
    </row>
    <row r="30" spans="2:6" ht="17">
      <c r="B30" s="8" t="s">
        <v>291</v>
      </c>
      <c r="C30" s="5" t="s">
        <v>211</v>
      </c>
      <c r="D30" s="20">
        <v>6</v>
      </c>
      <c r="E30" s="6">
        <v>0.1</v>
      </c>
      <c r="F30" s="7">
        <f>IFERROR(Tableau5712314161820222432343638123457[[#This Row],[Coût d''achat HT à l''unité]]*Tableau5712314161820222432343638123457[[#This Row],[Unités nécessaires]],"")</f>
        <v>0.60000000000000009</v>
      </c>
    </row>
    <row r="31" spans="2:6" ht="16">
      <c r="B31" s="8"/>
      <c r="C31" s="5" t="str">
        <f>_xlfn.XLOOKUP(Tableau5712314161820222432343638123457[[#This Row],[Article]],'Liste des fournisseurs'!$B$12:$B$307,'Liste des fournisseurs'!$C$12:$C$307,"")</f>
        <v/>
      </c>
      <c r="D31" s="20"/>
      <c r="E31" s="6" t="str">
        <f>_xlfn.XLOOKUP(Tableau5712314161820222432343638123457[[#This Row],[Article]],'Liste des fournisseurs'!$B$12:$B$307,'Liste des fournisseurs'!$F$12:$F$307,"")</f>
        <v/>
      </c>
      <c r="F31" s="7" t="str">
        <f>IFERROR(Tableau5712314161820222432343638123457[[#This Row],[Coût d''achat HT à l''unité]]*Tableau5712314161820222432343638123457[[#This Row],[Unités nécessaires]],"")</f>
        <v/>
      </c>
    </row>
    <row r="32" spans="2:6" ht="16">
      <c r="B32" s="8"/>
      <c r="C32" s="5" t="str">
        <f>_xlfn.XLOOKUP(Tableau5712314161820222432343638123457[[#This Row],[Article]],'Liste des fournisseurs'!$B$12:$B$307,'Liste des fournisseurs'!$C$12:$C$307,"")</f>
        <v/>
      </c>
      <c r="D32" s="20"/>
      <c r="E32" s="6" t="str">
        <f>_xlfn.XLOOKUP(Tableau5712314161820222432343638123457[[#This Row],[Article]],'Liste des fournisseurs'!$B$12:$B$307,'Liste des fournisseurs'!$F$12:$F$307,"")</f>
        <v/>
      </c>
      <c r="F32" s="7" t="str">
        <f>IFERROR(Tableau5712314161820222432343638123457[[#This Row],[Coût d''achat HT à l''unité]]*Tableau5712314161820222432343638123457[[#This Row],[Unités nécessaires]],"")</f>
        <v/>
      </c>
    </row>
    <row r="33" spans="2:6" ht="17">
      <c r="B33" s="34" t="s">
        <v>7</v>
      </c>
      <c r="C33" s="35"/>
      <c r="D33" s="35"/>
      <c r="E33" s="35"/>
      <c r="F33" s="42">
        <f>SUM(Tableau5712314161820222432343638123457[Prix de revient HT])</f>
        <v>1.5</v>
      </c>
    </row>
    <row r="34" spans="2:6" ht="34">
      <c r="B34" s="37" t="s">
        <v>8</v>
      </c>
      <c r="C34" s="38"/>
      <c r="D34" s="38"/>
      <c r="E34" s="38"/>
      <c r="F34" s="43">
        <f>F33/C13</f>
        <v>1.5</v>
      </c>
    </row>
    <row r="35" spans="2:6" ht="17">
      <c r="B35" s="37" t="s">
        <v>9</v>
      </c>
      <c r="C35" s="40">
        <v>0.2</v>
      </c>
      <c r="D35" s="38"/>
      <c r="E35" s="38"/>
      <c r="F35" s="43">
        <f>SUM(F27:F32)</f>
        <v>1.5</v>
      </c>
    </row>
    <row r="36" spans="2:6" ht="34">
      <c r="B36" s="37" t="s">
        <v>10</v>
      </c>
      <c r="C36" s="38"/>
      <c r="D36" s="38"/>
      <c r="E36" s="38"/>
      <c r="F36" s="43">
        <f>F34+C35*F34</f>
        <v>1.8</v>
      </c>
    </row>
    <row r="37" spans="2:6" ht="20">
      <c r="B37" s="221" t="s">
        <v>13</v>
      </c>
      <c r="C37" s="225"/>
      <c r="D37" s="225"/>
      <c r="E37" s="225"/>
      <c r="F37" s="226">
        <v>4.8</v>
      </c>
    </row>
    <row r="38" spans="2:6" ht="20">
      <c r="B38" s="51" t="s">
        <v>483</v>
      </c>
      <c r="C38" s="216"/>
      <c r="D38" s="216"/>
      <c r="E38" s="216"/>
      <c r="F38" s="204">
        <f>(F40-F36)/F40</f>
        <v>0.79166666666666674</v>
      </c>
    </row>
    <row r="39" spans="2:6" ht="20">
      <c r="B39" s="205" t="s">
        <v>484</v>
      </c>
      <c r="C39" s="217"/>
      <c r="D39" s="217"/>
      <c r="E39" s="217"/>
      <c r="F39" s="218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8.64</v>
      </c>
    </row>
    <row r="41" spans="2:6" ht="20" thickBot="1">
      <c r="B41" s="41" t="s">
        <v>12</v>
      </c>
      <c r="C41" s="18"/>
      <c r="D41" s="18"/>
      <c r="E41" s="18"/>
      <c r="F41" s="45">
        <f>F40-F36</f>
        <v>6.8400000000000007</v>
      </c>
    </row>
    <row r="43" spans="2:6" ht="15" thickBot="1"/>
    <row r="44" spans="2:6" ht="26">
      <c r="B44" s="248" t="s">
        <v>301</v>
      </c>
      <c r="C44" s="249"/>
      <c r="D44" s="249"/>
      <c r="E44" s="249"/>
      <c r="F44" s="250"/>
    </row>
    <row r="45" spans="2:6" ht="19">
      <c r="B45" s="146"/>
      <c r="C45" s="102"/>
      <c r="D45" s="102"/>
      <c r="E45" s="102"/>
      <c r="F45" s="147"/>
    </row>
    <row r="46" spans="2:6" ht="20" thickBot="1">
      <c r="B46" s="148"/>
      <c r="C46" s="149"/>
      <c r="D46" s="149"/>
      <c r="E46" s="149"/>
      <c r="F46" s="150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7:F7"/>
    <mergeCell ref="B9:F9"/>
    <mergeCell ref="B11:F11"/>
    <mergeCell ref="B44:F44"/>
  </mergeCells>
  <dataValidations count="1">
    <dataValidation type="list" allowBlank="1" showInputMessage="1" showErrorMessage="1" sqref="B9:F9" xr:uid="{9AF2FFB5-EF0B-E146-80F6-43375C6F590B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7F81FCF9-8E8F-3143-A42A-5E702CDABAA4}">
          <x14:formula1>
            <xm:f>'Liste des fournisseurs'!$B$12:$B$307</xm:f>
          </x14:formula1>
          <xm:sqref>B27:B32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DC42-9863-2448-80E0-925C7CC3CED5}">
  <dimension ref="B6:F58"/>
  <sheetViews>
    <sheetView topLeftCell="A13" zoomScale="125" workbookViewId="0">
      <selection activeCell="F38" sqref="F38"/>
    </sheetView>
  </sheetViews>
  <sheetFormatPr baseColWidth="10" defaultRowHeight="14"/>
  <cols>
    <col min="1" max="1" width="10.83203125" style="11"/>
    <col min="2" max="2" width="44.5" style="9" customWidth="1"/>
    <col min="3" max="3" width="13" style="10" bestFit="1" customWidth="1"/>
    <col min="4" max="4" width="28.1640625" style="10" bestFit="1" customWidth="1"/>
    <col min="5" max="5" width="36.5" style="10" bestFit="1" customWidth="1"/>
    <col min="6" max="6" width="27.6640625" style="10" bestFit="1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274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460</v>
      </c>
      <c r="C11" s="231"/>
      <c r="D11" s="231"/>
      <c r="E11" s="231"/>
      <c r="F11" s="232"/>
    </row>
    <row r="12" spans="2:6">
      <c r="B12" s="12"/>
    </row>
    <row r="13" spans="2:6" ht="22">
      <c r="B13" s="60" t="s">
        <v>292</v>
      </c>
      <c r="C13" s="22">
        <v>1</v>
      </c>
    </row>
    <row r="14" spans="2:6" ht="21">
      <c r="B14" s="23"/>
      <c r="C14" s="24"/>
    </row>
    <row r="15" spans="2:6" ht="22">
      <c r="B15" s="21" t="s">
        <v>1</v>
      </c>
      <c r="C15" s="52">
        <f>(C16*F40)+F40</f>
        <v>7.3288799999999998</v>
      </c>
    </row>
    <row r="16" spans="2:6" ht="22">
      <c r="B16" s="21" t="s">
        <v>2</v>
      </c>
      <c r="C16" s="26">
        <v>0.16</v>
      </c>
    </row>
    <row r="17" spans="2:6" ht="21">
      <c r="B17" s="27"/>
      <c r="C17" s="24"/>
      <c r="E17" s="53"/>
    </row>
    <row r="18" spans="2:6" ht="19">
      <c r="B18" s="62" t="s">
        <v>294</v>
      </c>
      <c r="C18" s="11"/>
    </row>
    <row r="19" spans="2:6" ht="19">
      <c r="B19" s="63" t="s">
        <v>465</v>
      </c>
      <c r="C19" s="11"/>
    </row>
    <row r="20" spans="2:6" ht="19">
      <c r="B20" s="63" t="s">
        <v>464</v>
      </c>
      <c r="C20" s="11"/>
    </row>
    <row r="21" spans="2:6" ht="20" thickBot="1">
      <c r="B21" s="63" t="s">
        <v>463</v>
      </c>
      <c r="C21" s="11"/>
    </row>
    <row r="22" spans="2:6" ht="21" thickTop="1" thickBot="1">
      <c r="B22" s="63" t="s">
        <v>462</v>
      </c>
      <c r="C22" s="105" t="s">
        <v>458</v>
      </c>
    </row>
    <row r="23" spans="2:6" ht="15" thickTop="1">
      <c r="B23" s="11"/>
      <c r="C23" s="11"/>
    </row>
    <row r="24" spans="2:6" ht="19">
      <c r="B24" s="62" t="s">
        <v>298</v>
      </c>
      <c r="C24" s="62"/>
    </row>
    <row r="25" spans="2:6" ht="15" thickBot="1">
      <c r="B25" s="12"/>
    </row>
    <row r="26" spans="2:6" ht="30" customHeight="1" thickBot="1">
      <c r="B26" s="28" t="s">
        <v>3</v>
      </c>
      <c r="C26" s="29" t="s">
        <v>94</v>
      </c>
      <c r="D26" s="29" t="s">
        <v>5</v>
      </c>
      <c r="E26" s="29" t="s">
        <v>4</v>
      </c>
      <c r="F26" s="29" t="s">
        <v>6</v>
      </c>
    </row>
    <row r="27" spans="2:6" ht="17">
      <c r="B27" s="8" t="s">
        <v>429</v>
      </c>
      <c r="C27" s="5" t="str">
        <f>_xlfn.XLOOKUP(Tableau571231416182022243234363812345711[[#This Row],[Article]],'Liste des fournisseurs'!$B$12:$B$307,'Liste des fournisseurs'!$C$12:$C$307,"")</f>
        <v>g</v>
      </c>
      <c r="D27" s="20">
        <v>60</v>
      </c>
      <c r="E27" s="6">
        <f>_xlfn.XLOOKUP(Tableau571231416182022243234363812345711[[#This Row],[Article]],'Liste des fournisseurs'!$B$12:$B$307,'Liste des fournisseurs'!$F$12:$F$307,"")</f>
        <v>1.4999999999999999E-2</v>
      </c>
      <c r="F27" s="7">
        <f>IFERROR(Tableau571231416182022243234363812345711[[#This Row],[Coût d''achat HT à l''unité]]*Tableau571231416182022243234363812345711[[#This Row],[Unités nécessaires]],"")</f>
        <v>0.89999999999999991</v>
      </c>
    </row>
    <row r="28" spans="2:6" ht="17">
      <c r="B28" s="8" t="s">
        <v>437</v>
      </c>
      <c r="C28" s="5" t="str">
        <f>_xlfn.XLOOKUP(Tableau571231416182022243234363812345711[[#This Row],[Article]],'Liste des fournisseurs'!$B$12:$B$307,'Liste des fournisseurs'!$C$12:$C$307,"")</f>
        <v>cl</v>
      </c>
      <c r="D28" s="20">
        <v>3</v>
      </c>
      <c r="E28" s="6">
        <f>_xlfn.XLOOKUP(Tableau571231416182022243234363812345711[[#This Row],[Article]],'Liste des fournisseurs'!$B$12:$B$307,'Liste des fournisseurs'!$F$12:$F$307,"")</f>
        <v>0.16</v>
      </c>
      <c r="F28" s="7">
        <f>IFERROR(Tableau571231416182022243234363812345711[[#This Row],[Coût d''achat HT à l''unité]]*Tableau571231416182022243234363812345711[[#This Row],[Unités nécessaires]],"")</f>
        <v>0.48</v>
      </c>
    </row>
    <row r="29" spans="2:6" ht="17">
      <c r="B29" s="8" t="s">
        <v>175</v>
      </c>
      <c r="C29" s="5" t="str">
        <f>_xlfn.XLOOKUP(Tableau571231416182022243234363812345711[[#This Row],[Article]],'Liste des fournisseurs'!$B$12:$B$307,'Liste des fournisseurs'!$C$12:$C$307,"")</f>
        <v>cl</v>
      </c>
      <c r="D29" s="20">
        <v>15</v>
      </c>
      <c r="E29" s="6">
        <f>_xlfn.XLOOKUP(Tableau571231416182022243234363812345711[[#This Row],[Article]],'Liste des fournisseurs'!$B$12:$B$307,'Liste des fournisseurs'!$F$12:$F$307,"")</f>
        <v>2.5000000000000001E-2</v>
      </c>
      <c r="F29" s="7">
        <f>IFERROR(Tableau571231416182022243234363812345711[[#This Row],[Coût d''achat HT à l''unité]]*Tableau571231416182022243234363812345711[[#This Row],[Unités nécessaires]],"")</f>
        <v>0.375</v>
      </c>
    </row>
    <row r="30" spans="2:6" ht="16">
      <c r="B30" s="8"/>
      <c r="C30" s="5" t="str">
        <f>_xlfn.XLOOKUP(Tableau571231416182022243234363812345711[[#This Row],[Article]],'Liste des fournisseurs'!$B$12:$B$307,'Liste des fournisseurs'!$C$12:$C$307,"")</f>
        <v/>
      </c>
      <c r="D30" s="20"/>
      <c r="E30" s="6" t="str">
        <f>_xlfn.XLOOKUP(Tableau571231416182022243234363812345711[[#This Row],[Article]],'Liste des fournisseurs'!$B$12:$B$307,'Liste des fournisseurs'!$F$12:$F$307,"")</f>
        <v/>
      </c>
      <c r="F30" s="7" t="str">
        <f>IFERROR(Tableau571231416182022243234363812345711[[#This Row],[Coût d''achat HT à l''unité]]*Tableau571231416182022243234363812345711[[#This Row],[Unités nécessaires]],"")</f>
        <v/>
      </c>
    </row>
    <row r="31" spans="2:6" ht="16">
      <c r="B31" s="8"/>
      <c r="C31" s="5" t="str">
        <f>_xlfn.XLOOKUP(Tableau571231416182022243234363812345711[[#This Row],[Article]],'Liste des fournisseurs'!$B$12:$B$307,'Liste des fournisseurs'!$C$12:$C$307,"")</f>
        <v/>
      </c>
      <c r="D31" s="20"/>
      <c r="E31" s="6" t="str">
        <f>_xlfn.XLOOKUP(Tableau571231416182022243234363812345711[[#This Row],[Article]],'Liste des fournisseurs'!$B$12:$B$307,'Liste des fournisseurs'!$F$12:$F$307,"")</f>
        <v/>
      </c>
      <c r="F31" s="7" t="str">
        <f>IFERROR(Tableau571231416182022243234363812345711[[#This Row],[Coût d''achat HT à l''unité]]*Tableau571231416182022243234363812345711[[#This Row],[Unités nécessaires]],"")</f>
        <v/>
      </c>
    </row>
    <row r="32" spans="2:6" ht="16">
      <c r="B32" s="8"/>
      <c r="C32" s="5" t="str">
        <f>_xlfn.XLOOKUP(Tableau571231416182022243234363812345711[[#This Row],[Article]],'Liste des fournisseurs'!$B$12:$B$307,'Liste des fournisseurs'!$C$12:$C$307,"")</f>
        <v/>
      </c>
      <c r="D32" s="20"/>
      <c r="E32" s="6" t="str">
        <f>_xlfn.XLOOKUP(Tableau571231416182022243234363812345711[[#This Row],[Article]],'Liste des fournisseurs'!$B$12:$B$307,'Liste des fournisseurs'!$F$12:$F$307,"")</f>
        <v/>
      </c>
      <c r="F32" s="7" t="str">
        <f>IFERROR(Tableau571231416182022243234363812345711[[#This Row],[Coût d''achat HT à l''unité]]*Tableau571231416182022243234363812345711[[#This Row],[Unités nécessaires]],"")</f>
        <v/>
      </c>
    </row>
    <row r="33" spans="2:6" ht="17">
      <c r="B33" s="34" t="s">
        <v>7</v>
      </c>
      <c r="C33" s="35"/>
      <c r="D33" s="35"/>
      <c r="E33" s="35"/>
      <c r="F33" s="42">
        <f>SUM(Tableau571231416182022243234363812345711[Prix de revient HT])</f>
        <v>1.7549999999999999</v>
      </c>
    </row>
    <row r="34" spans="2:6" ht="34">
      <c r="B34" s="37" t="s">
        <v>8</v>
      </c>
      <c r="C34" s="38"/>
      <c r="D34" s="38"/>
      <c r="E34" s="38"/>
      <c r="F34" s="43">
        <f>F33/C13</f>
        <v>1.7549999999999999</v>
      </c>
    </row>
    <row r="35" spans="2:6" ht="17">
      <c r="B35" s="37" t="s">
        <v>9</v>
      </c>
      <c r="C35" s="40">
        <v>0.2</v>
      </c>
      <c r="D35" s="38"/>
      <c r="E35" s="38"/>
      <c r="F35" s="43">
        <f>SUM(F27:F32)</f>
        <v>1.7549999999999999</v>
      </c>
    </row>
    <row r="36" spans="2:6" ht="17">
      <c r="B36" s="37" t="s">
        <v>10</v>
      </c>
      <c r="C36" s="38"/>
      <c r="D36" s="38"/>
      <c r="E36" s="38"/>
      <c r="F36" s="43">
        <f>F34+C35*F34</f>
        <v>2.1059999999999999</v>
      </c>
    </row>
    <row r="37" spans="2:6" ht="20">
      <c r="B37" s="221" t="s">
        <v>13</v>
      </c>
      <c r="C37" s="225"/>
      <c r="D37" s="225"/>
      <c r="E37" s="225"/>
      <c r="F37" s="226">
        <v>3</v>
      </c>
    </row>
    <row r="38" spans="2:6" ht="20">
      <c r="B38" s="51" t="s">
        <v>483</v>
      </c>
      <c r="C38" s="216"/>
      <c r="D38" s="216"/>
      <c r="E38" s="216"/>
      <c r="F38" s="204">
        <f>(F40-F36)/F40</f>
        <v>0.66666666666666663</v>
      </c>
    </row>
    <row r="39" spans="2:6" ht="20">
      <c r="B39" s="205" t="s">
        <v>484</v>
      </c>
      <c r="C39" s="217"/>
      <c r="D39" s="217"/>
      <c r="E39" s="217"/>
      <c r="F39" s="218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6.3179999999999996</v>
      </c>
    </row>
    <row r="41" spans="2:6" ht="20" thickBot="1">
      <c r="B41" s="41" t="s">
        <v>12</v>
      </c>
      <c r="C41" s="18"/>
      <c r="D41" s="18"/>
      <c r="E41" s="18"/>
      <c r="F41" s="45">
        <f>F40-F36</f>
        <v>4.2119999999999997</v>
      </c>
    </row>
    <row r="43" spans="2:6" ht="15" thickBot="1"/>
    <row r="44" spans="2:6" ht="26">
      <c r="B44" s="248" t="s">
        <v>301</v>
      </c>
      <c r="C44" s="249"/>
      <c r="D44" s="249"/>
      <c r="E44" s="249"/>
      <c r="F44" s="250"/>
    </row>
    <row r="45" spans="2:6" ht="19">
      <c r="B45" s="146"/>
      <c r="C45" s="102"/>
      <c r="D45" s="102"/>
      <c r="E45" s="102"/>
      <c r="F45" s="147"/>
    </row>
    <row r="46" spans="2:6" ht="20" thickBot="1">
      <c r="B46" s="148"/>
      <c r="C46" s="149"/>
      <c r="D46" s="149"/>
      <c r="E46" s="149"/>
      <c r="F46" s="150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7:F7"/>
    <mergeCell ref="B9:F9"/>
    <mergeCell ref="B11:F11"/>
    <mergeCell ref="B44:F44"/>
  </mergeCells>
  <dataValidations count="1">
    <dataValidation type="list" allowBlank="1" showInputMessage="1" showErrorMessage="1" sqref="B9:F9" xr:uid="{B0ED004E-572C-0D48-82EC-FC6F4059845F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DCCCEB-93E9-464B-9AEC-69190E90DA0A}">
          <x14:formula1>
            <xm:f>'Liste des fournisseurs'!$B$12:$B$307</xm:f>
          </x14:formula1>
          <xm:sqref>B27:B32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9A07-6298-AD44-ABFF-6065ADACA865}">
  <dimension ref="B6:F55"/>
  <sheetViews>
    <sheetView topLeftCell="A14" zoomScale="115" workbookViewId="0">
      <selection activeCell="B35" sqref="B35:B36"/>
    </sheetView>
  </sheetViews>
  <sheetFormatPr baseColWidth="10" defaultRowHeight="14"/>
  <cols>
    <col min="1" max="1" width="10.83203125" style="11"/>
    <col min="2" max="2" width="44.5" style="9" customWidth="1"/>
    <col min="3" max="3" width="10.6640625" style="10" customWidth="1"/>
    <col min="4" max="4" width="24.33203125" style="10" customWidth="1"/>
    <col min="5" max="5" width="33.1640625" style="10" customWidth="1"/>
    <col min="6" max="6" width="24.1640625" style="10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273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466</v>
      </c>
      <c r="C11" s="231"/>
      <c r="D11" s="231"/>
      <c r="E11" s="231"/>
      <c r="F11" s="232"/>
    </row>
    <row r="12" spans="2:6">
      <c r="B12" s="12"/>
    </row>
    <row r="13" spans="2:6" ht="22">
      <c r="B13" s="60" t="s">
        <v>292</v>
      </c>
      <c r="C13" s="22">
        <v>1</v>
      </c>
    </row>
    <row r="14" spans="2:6" ht="21">
      <c r="B14" s="23"/>
      <c r="C14" s="24"/>
    </row>
    <row r="15" spans="2:6" ht="22">
      <c r="B15" s="21" t="s">
        <v>1</v>
      </c>
      <c r="C15" s="52">
        <f>(C16*F37)+F37</f>
        <v>9.897120000000001</v>
      </c>
    </row>
    <row r="16" spans="2:6" ht="22">
      <c r="B16" s="21" t="s">
        <v>2</v>
      </c>
      <c r="C16" s="26">
        <v>0.16</v>
      </c>
    </row>
    <row r="17" spans="2:6" ht="21">
      <c r="B17" s="27"/>
      <c r="C17" s="24"/>
      <c r="E17" s="53"/>
    </row>
    <row r="18" spans="2:6" ht="19">
      <c r="B18" s="62" t="s">
        <v>294</v>
      </c>
      <c r="C18" s="11"/>
    </row>
    <row r="19" spans="2:6" ht="19">
      <c r="B19" s="63" t="s">
        <v>465</v>
      </c>
      <c r="C19" s="11"/>
    </row>
    <row r="20" spans="2:6" ht="19">
      <c r="B20" s="63" t="s">
        <v>464</v>
      </c>
      <c r="C20" s="11"/>
    </row>
    <row r="21" spans="2:6" ht="20" thickBot="1">
      <c r="B21" s="63" t="s">
        <v>463</v>
      </c>
      <c r="C21" s="11"/>
    </row>
    <row r="22" spans="2:6" ht="21" thickTop="1" thickBot="1">
      <c r="B22" s="63" t="s">
        <v>462</v>
      </c>
      <c r="C22" s="105" t="s">
        <v>458</v>
      </c>
    </row>
    <row r="23" spans="2:6" ht="15" thickTop="1">
      <c r="B23" s="11"/>
      <c r="C23" s="11"/>
    </row>
    <row r="24" spans="2:6" ht="19">
      <c r="B24" s="62" t="s">
        <v>298</v>
      </c>
      <c r="C24" s="62"/>
    </row>
    <row r="25" spans="2:6" ht="15" thickBot="1">
      <c r="B25" s="12"/>
    </row>
    <row r="26" spans="2:6" ht="30" customHeight="1" thickBot="1">
      <c r="B26" s="28" t="s">
        <v>3</v>
      </c>
      <c r="C26" s="29" t="s">
        <v>94</v>
      </c>
      <c r="D26" s="29" t="s">
        <v>5</v>
      </c>
      <c r="E26" s="29" t="s">
        <v>4</v>
      </c>
      <c r="F26" s="29" t="s">
        <v>6</v>
      </c>
    </row>
    <row r="27" spans="2:6" ht="17">
      <c r="B27" s="8" t="s">
        <v>467</v>
      </c>
      <c r="C27" s="5" t="str">
        <f>_xlfn.XLOOKUP(Tableau57123141618202224323436381234571113[[#This Row],[Article]],'Liste des fournisseurs'!$B$12:$B$307,'Liste des fournisseurs'!$C$12:$C$307,"")</f>
        <v>cl</v>
      </c>
      <c r="D27" s="20">
        <v>3</v>
      </c>
      <c r="E27" s="6">
        <f>_xlfn.XLOOKUP(Tableau57123141618202224323436381234571113[[#This Row],[Article]],'Liste des fournisseurs'!$B$12:$B$307,'Liste des fournisseurs'!$F$12:$F$307,"")</f>
        <v>0.14000000000000001</v>
      </c>
      <c r="F27" s="7">
        <f>IFERROR(Tableau57123141618202224323436381234571113[[#This Row],[Coût d''achat HT à l''unité]]*Tableau57123141618202224323436381234571113[[#This Row],[Unités nécessaires]],"")</f>
        <v>0.42000000000000004</v>
      </c>
    </row>
    <row r="28" spans="2:6" ht="17">
      <c r="B28" s="8" t="s">
        <v>182</v>
      </c>
      <c r="C28" s="5" t="str">
        <f>_xlfn.XLOOKUP(Tableau57123141618202224323436381234571113[[#This Row],[Article]],'Liste des fournisseurs'!$B$12:$B$307,'Liste des fournisseurs'!$C$12:$C$307,"")</f>
        <v>ML</v>
      </c>
      <c r="D28" s="20">
        <v>150</v>
      </c>
      <c r="E28" s="6">
        <f>_xlfn.XLOOKUP(Tableau57123141618202224323436381234571113[[#This Row],[Article]],'Liste des fournisseurs'!$B$12:$B$307,'Liste des fournisseurs'!$F$12:$F$307,"")</f>
        <v>6.6799999999999993E-3</v>
      </c>
      <c r="F28" s="7">
        <f>IFERROR(Tableau57123141618202224323436381234571113[[#This Row],[Coût d''achat HT à l''unité]]*Tableau57123141618202224323436381234571113[[#This Row],[Unités nécessaires]],"")</f>
        <v>1.002</v>
      </c>
    </row>
    <row r="29" spans="2:6" ht="16">
      <c r="B29" s="8"/>
      <c r="C29" s="5" t="str">
        <f>_xlfn.XLOOKUP(Tableau57123141618202224323436381234571113[[#This Row],[Article]],'Liste des fournisseurs'!$B$12:$B$307,'Liste des fournisseurs'!$C$12:$C$307,"")</f>
        <v/>
      </c>
      <c r="D29" s="20"/>
      <c r="E29" s="6" t="str">
        <f>_xlfn.XLOOKUP(Tableau57123141618202224323436381234571113[[#This Row],[Article]],'Liste des fournisseurs'!$B$12:$B$307,'Liste des fournisseurs'!$F$12:$F$307,"")</f>
        <v/>
      </c>
      <c r="F29" s="7" t="str">
        <f>IFERROR(Tableau57123141618202224323436381234571113[[#This Row],[Coût d''achat HT à l''unité]]*Tableau57123141618202224323436381234571113[[#This Row],[Unités nécessaires]],"")</f>
        <v/>
      </c>
    </row>
    <row r="30" spans="2:6" ht="17">
      <c r="B30" s="34" t="s">
        <v>7</v>
      </c>
      <c r="C30" s="35"/>
      <c r="D30" s="35"/>
      <c r="E30" s="35"/>
      <c r="F30" s="42">
        <f>SUM(Tableau57123141618202224323436381234571113[Prix de revient HT])</f>
        <v>1.4220000000000002</v>
      </c>
    </row>
    <row r="31" spans="2:6" ht="34">
      <c r="B31" s="37" t="s">
        <v>8</v>
      </c>
      <c r="C31" s="38"/>
      <c r="D31" s="38"/>
      <c r="E31" s="38"/>
      <c r="F31" s="43">
        <f>F30/C13</f>
        <v>1.4220000000000002</v>
      </c>
    </row>
    <row r="32" spans="2:6" ht="17">
      <c r="B32" s="37" t="s">
        <v>9</v>
      </c>
      <c r="C32" s="40">
        <v>0.2</v>
      </c>
      <c r="D32" s="38"/>
      <c r="E32" s="38"/>
      <c r="F32" s="43">
        <f>SUM(F27:F29)</f>
        <v>1.4220000000000002</v>
      </c>
    </row>
    <row r="33" spans="2:6" ht="17">
      <c r="B33" s="37" t="s">
        <v>10</v>
      </c>
      <c r="C33" s="38"/>
      <c r="D33" s="38"/>
      <c r="E33" s="38"/>
      <c r="F33" s="43">
        <f>F31+C32*F31</f>
        <v>1.7064000000000001</v>
      </c>
    </row>
    <row r="34" spans="2:6" ht="20">
      <c r="B34" s="221" t="s">
        <v>13</v>
      </c>
      <c r="C34" s="225"/>
      <c r="D34" s="225"/>
      <c r="E34" s="225"/>
      <c r="F34" s="226">
        <v>5</v>
      </c>
    </row>
    <row r="35" spans="2:6" ht="20">
      <c r="B35" s="51" t="s">
        <v>483</v>
      </c>
      <c r="C35" s="216"/>
      <c r="D35" s="216"/>
      <c r="E35" s="216"/>
      <c r="F35" s="204">
        <f>(F37-F33)/F37</f>
        <v>0.79999999999999993</v>
      </c>
    </row>
    <row r="36" spans="2:6" ht="20">
      <c r="B36" s="205" t="s">
        <v>484</v>
      </c>
      <c r="C36" s="217"/>
      <c r="D36" s="217"/>
      <c r="E36" s="217"/>
      <c r="F36" s="218" t="s">
        <v>482</v>
      </c>
    </row>
    <row r="37" spans="2:6" ht="19">
      <c r="B37" s="37" t="s">
        <v>11</v>
      </c>
      <c r="C37" s="14"/>
      <c r="D37" s="14"/>
      <c r="E37" s="14"/>
      <c r="F37" s="44">
        <f>F33*F34</f>
        <v>8.532</v>
      </c>
    </row>
    <row r="38" spans="2:6" ht="20" thickBot="1">
      <c r="B38" s="41" t="s">
        <v>12</v>
      </c>
      <c r="C38" s="18"/>
      <c r="D38" s="18"/>
      <c r="E38" s="18"/>
      <c r="F38" s="45">
        <f>F37-F33</f>
        <v>6.8255999999999997</v>
      </c>
    </row>
    <row r="40" spans="2:6" ht="15" thickBot="1"/>
    <row r="41" spans="2:6" ht="26">
      <c r="B41" s="248" t="s">
        <v>301</v>
      </c>
      <c r="C41" s="249"/>
      <c r="D41" s="249"/>
      <c r="E41" s="249"/>
      <c r="F41" s="250"/>
    </row>
    <row r="42" spans="2:6" ht="19">
      <c r="B42" s="146"/>
      <c r="C42" s="102"/>
      <c r="D42" s="102"/>
      <c r="E42" s="102"/>
      <c r="F42" s="147"/>
    </row>
    <row r="43" spans="2:6" ht="20" thickBot="1">
      <c r="B43" s="148"/>
      <c r="C43" s="149"/>
      <c r="D43" s="149"/>
      <c r="E43" s="149"/>
      <c r="F43" s="150"/>
    </row>
    <row r="44" spans="2:6">
      <c r="B44" s="30"/>
      <c r="C44" s="54"/>
      <c r="D44" s="54"/>
      <c r="E44" s="54"/>
      <c r="F44" s="54"/>
    </row>
    <row r="45" spans="2:6">
      <c r="B45" s="30"/>
      <c r="C45" s="54"/>
      <c r="D45" s="54"/>
      <c r="E45" s="54"/>
      <c r="F45" s="54"/>
    </row>
    <row r="46" spans="2:6">
      <c r="B46" s="30"/>
      <c r="C46" s="54"/>
      <c r="D46" s="54"/>
      <c r="E46" s="54"/>
      <c r="F46" s="54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</row>
    <row r="53" spans="2:6">
      <c r="B53" s="30"/>
    </row>
    <row r="54" spans="2:6">
      <c r="B54" s="30"/>
    </row>
    <row r="55" spans="2:6">
      <c r="B55" s="30"/>
    </row>
  </sheetData>
  <mergeCells count="4">
    <mergeCell ref="B7:F7"/>
    <mergeCell ref="B9:F9"/>
    <mergeCell ref="B11:F11"/>
    <mergeCell ref="B41:F41"/>
  </mergeCells>
  <dataValidations count="1">
    <dataValidation type="list" allowBlank="1" showInputMessage="1" showErrorMessage="1" sqref="B9:F9" xr:uid="{B25A906D-1ACA-B24F-ACA3-40FF08085488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A5A0C5-EEB5-134D-9DFC-F9690B8AE28A}">
          <x14:formula1>
            <xm:f>'Liste des fournisseurs'!$B$12:$B$307</xm:f>
          </x14:formula1>
          <xm:sqref>B27:B29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18BC-DE04-F94D-8EFE-D88FD864A21E}">
  <dimension ref="B6:F57"/>
  <sheetViews>
    <sheetView topLeftCell="A20" workbookViewId="0">
      <selection activeCell="F37" sqref="F37"/>
    </sheetView>
  </sheetViews>
  <sheetFormatPr baseColWidth="10" defaultRowHeight="14"/>
  <cols>
    <col min="1" max="1" width="10.83203125" style="11"/>
    <col min="2" max="2" width="44.5" style="9" customWidth="1"/>
    <col min="3" max="3" width="10.6640625" style="10" customWidth="1"/>
    <col min="4" max="4" width="24.33203125" style="10" customWidth="1"/>
    <col min="5" max="5" width="33.1640625" style="10" customWidth="1"/>
    <col min="6" max="6" width="24.1640625" style="10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273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468</v>
      </c>
      <c r="C11" s="231"/>
      <c r="D11" s="231"/>
      <c r="E11" s="231"/>
      <c r="F11" s="232"/>
    </row>
    <row r="12" spans="2:6">
      <c r="B12" s="12"/>
    </row>
    <row r="13" spans="2:6" ht="22">
      <c r="B13" s="60" t="s">
        <v>292</v>
      </c>
      <c r="C13" s="22">
        <v>1</v>
      </c>
    </row>
    <row r="14" spans="2:6" ht="21">
      <c r="B14" s="23"/>
      <c r="C14" s="24"/>
    </row>
    <row r="15" spans="2:6" ht="22">
      <c r="B15" s="21" t="s">
        <v>1</v>
      </c>
      <c r="C15" s="52">
        <f>(C16*F39)+F39</f>
        <v>10.24512</v>
      </c>
    </row>
    <row r="16" spans="2:6" ht="22">
      <c r="B16" s="21" t="s">
        <v>2</v>
      </c>
      <c r="C16" s="26">
        <v>0.16</v>
      </c>
    </row>
    <row r="17" spans="2:6" ht="21">
      <c r="B17" s="27"/>
      <c r="C17" s="24"/>
      <c r="E17" s="53"/>
    </row>
    <row r="18" spans="2:6" ht="19">
      <c r="B18" s="62" t="s">
        <v>294</v>
      </c>
      <c r="C18" s="11"/>
    </row>
    <row r="19" spans="2:6" ht="19">
      <c r="B19" s="63" t="s">
        <v>465</v>
      </c>
      <c r="C19" s="11"/>
    </row>
    <row r="20" spans="2:6" ht="19">
      <c r="B20" s="63" t="s">
        <v>464</v>
      </c>
      <c r="C20" s="11"/>
    </row>
    <row r="21" spans="2:6" ht="20" thickBot="1">
      <c r="B21" s="63" t="s">
        <v>463</v>
      </c>
      <c r="C21" s="11"/>
    </row>
    <row r="22" spans="2:6" ht="21" thickTop="1" thickBot="1">
      <c r="B22" s="63" t="s">
        <v>462</v>
      </c>
      <c r="C22" s="105" t="s">
        <v>458</v>
      </c>
    </row>
    <row r="23" spans="2:6" ht="15" thickTop="1">
      <c r="B23" s="11"/>
      <c r="C23" s="11"/>
    </row>
    <row r="24" spans="2:6" ht="19">
      <c r="B24" s="62" t="s">
        <v>298</v>
      </c>
      <c r="C24" s="62"/>
    </row>
    <row r="25" spans="2:6" ht="15" thickBot="1">
      <c r="B25" s="12"/>
    </row>
    <row r="26" spans="2:6" ht="30" customHeight="1" thickBot="1">
      <c r="B26" s="28" t="s">
        <v>3</v>
      </c>
      <c r="C26" s="29" t="s">
        <v>94</v>
      </c>
      <c r="D26" s="29" t="s">
        <v>5</v>
      </c>
      <c r="E26" s="29" t="s">
        <v>4</v>
      </c>
      <c r="F26" s="29" t="s">
        <v>6</v>
      </c>
    </row>
    <row r="27" spans="2:6" ht="17">
      <c r="B27" s="8" t="s">
        <v>467</v>
      </c>
      <c r="C27" s="5" t="str">
        <f>_xlfn.XLOOKUP(Tableau5712314161820222432343638123457111314[[#This Row],[Article]],'Liste des fournisseurs'!$B$12:$B$307,'Liste des fournisseurs'!$C$12:$C$307,"")</f>
        <v>cl</v>
      </c>
      <c r="D27" s="20">
        <v>1.5</v>
      </c>
      <c r="E27" s="6">
        <f>_xlfn.XLOOKUP(Tableau5712314161820222432343638123457111314[[#This Row],[Article]],'Liste des fournisseurs'!$B$12:$B$307,'Liste des fournisseurs'!$F$12:$F$307,"")</f>
        <v>0.14000000000000001</v>
      </c>
      <c r="F27" s="7">
        <f>IFERROR(Tableau5712314161820222432343638123457111314[[#This Row],[Coût d''achat HT à l''unité]]*Tableau5712314161820222432343638123457111314[[#This Row],[Unités nécessaires]],"")</f>
        <v>0.21000000000000002</v>
      </c>
    </row>
    <row r="28" spans="2:6" ht="17">
      <c r="B28" s="8" t="s">
        <v>443</v>
      </c>
      <c r="C28" s="5" t="str">
        <f>_xlfn.XLOOKUP(Tableau5712314161820222432343638123457111314[[#This Row],[Article]],'Liste des fournisseurs'!$B$12:$B$307,'Liste des fournisseurs'!$C$12:$C$307,"")</f>
        <v>cl</v>
      </c>
      <c r="D28" s="20">
        <v>1.5</v>
      </c>
      <c r="E28" s="6">
        <f>_xlfn.XLOOKUP(Tableau5712314161820222432343638123457111314[[#This Row],[Article]],'Liste des fournisseurs'!$B$12:$B$307,'Liste des fournisseurs'!$F$12:$F$307,"")</f>
        <v>0.16</v>
      </c>
      <c r="F28" s="7">
        <f>IFERROR(Tableau5712314161820222432343638123457111314[[#This Row],[Coût d''achat HT à l''unité]]*Tableau5712314161820222432343638123457111314[[#This Row],[Unités nécessaires]],"")</f>
        <v>0.24</v>
      </c>
    </row>
    <row r="29" spans="2:6" ht="17">
      <c r="B29" s="8" t="s">
        <v>461</v>
      </c>
      <c r="C29" s="5" t="str">
        <f>_xlfn.XLOOKUP(Tableau5712314161820222432343638123457111314[[#This Row],[Article]],'Liste des fournisseurs'!$B$12:$B$307,'Liste des fournisseurs'!$C$12:$C$307,"")</f>
        <v>g</v>
      </c>
      <c r="D29" s="20">
        <v>30</v>
      </c>
      <c r="E29" s="6">
        <f>_xlfn.XLOOKUP(Tableau5712314161820222432343638123457111314[[#This Row],[Article]],'Liste des fournisseurs'!$B$12:$B$307,'Liste des fournisseurs'!$F$12:$F$307,"")</f>
        <v>1.4999999999999999E-2</v>
      </c>
      <c r="F29" s="7">
        <f>IFERROR(Tableau5712314161820222432343638123457111314[[#This Row],[Coût d''achat HT à l''unité]]*Tableau5712314161820222432343638123457111314[[#This Row],[Unités nécessaires]],"")</f>
        <v>0.44999999999999996</v>
      </c>
    </row>
    <row r="30" spans="2:6" ht="17">
      <c r="B30" s="8" t="s">
        <v>242</v>
      </c>
      <c r="C30" s="5" t="str">
        <f>_xlfn.XLOOKUP(Tableau5712314161820222432343638123457111314[[#This Row],[Article]],'Liste des fournisseurs'!$B$12:$B$307,'Liste des fournisseurs'!$C$12:$C$307,"")</f>
        <v>cl</v>
      </c>
      <c r="D30" s="20">
        <v>20</v>
      </c>
      <c r="E30" s="6">
        <f>_xlfn.XLOOKUP(Tableau5712314161820222432343638123457111314[[#This Row],[Article]],'Liste des fournisseurs'!$B$12:$B$307,'Liste des fournisseurs'!$F$12:$F$307,"")</f>
        <v>2.86E-2</v>
      </c>
      <c r="F30" s="7">
        <f>IFERROR(Tableau5712314161820222432343638123457111314[[#This Row],[Coût d''achat HT à l''unité]]*Tableau5712314161820222432343638123457111314[[#This Row],[Unités nécessaires]],"")</f>
        <v>0.57200000000000006</v>
      </c>
    </row>
    <row r="31" spans="2:6" ht="16">
      <c r="B31" s="8"/>
      <c r="C31" s="5" t="str">
        <f>_xlfn.XLOOKUP(Tableau5712314161820222432343638123457111314[[#This Row],[Article]],'Liste des fournisseurs'!$B$12:$B$307,'Liste des fournisseurs'!$C$12:$C$307,"")</f>
        <v/>
      </c>
      <c r="D31" s="20"/>
      <c r="E31" s="6" t="str">
        <f>_xlfn.XLOOKUP(Tableau5712314161820222432343638123457111314[[#This Row],[Article]],'Liste des fournisseurs'!$B$12:$B$307,'Liste des fournisseurs'!$F$12:$F$307,"")</f>
        <v/>
      </c>
      <c r="F31" s="7" t="str">
        <f>IFERROR(Tableau5712314161820222432343638123457111314[[#This Row],[Coût d''achat HT à l''unité]]*Tableau5712314161820222432343638123457111314[[#This Row],[Unités nécessaires]],"")</f>
        <v/>
      </c>
    </row>
    <row r="32" spans="2:6" ht="17">
      <c r="B32" s="34" t="s">
        <v>7</v>
      </c>
      <c r="C32" s="35"/>
      <c r="D32" s="35"/>
      <c r="E32" s="35"/>
      <c r="F32" s="42">
        <f>SUM(Tableau5712314161820222432343638123457111314[Prix de revient HT])</f>
        <v>1.472</v>
      </c>
    </row>
    <row r="33" spans="2:6" ht="34">
      <c r="B33" s="37" t="s">
        <v>8</v>
      </c>
      <c r="C33" s="38"/>
      <c r="D33" s="38"/>
      <c r="E33" s="38"/>
      <c r="F33" s="43">
        <f>F32/C13</f>
        <v>1.472</v>
      </c>
    </row>
    <row r="34" spans="2:6" ht="17">
      <c r="B34" s="37" t="s">
        <v>9</v>
      </c>
      <c r="C34" s="40">
        <v>0.2</v>
      </c>
      <c r="D34" s="38"/>
      <c r="E34" s="38"/>
      <c r="F34" s="43">
        <f>SUM(F27:F31)</f>
        <v>1.472</v>
      </c>
    </row>
    <row r="35" spans="2:6" ht="17">
      <c r="B35" s="37" t="s">
        <v>10</v>
      </c>
      <c r="C35" s="38"/>
      <c r="D35" s="38"/>
      <c r="E35" s="38"/>
      <c r="F35" s="43">
        <f>F33+C34*F33</f>
        <v>1.7664</v>
      </c>
    </row>
    <row r="36" spans="2:6" ht="20">
      <c r="B36" s="221" t="s">
        <v>13</v>
      </c>
      <c r="C36" s="225"/>
      <c r="D36" s="225"/>
      <c r="E36" s="225"/>
      <c r="F36" s="226">
        <v>5</v>
      </c>
    </row>
    <row r="37" spans="2:6" ht="20">
      <c r="B37" s="51" t="s">
        <v>483</v>
      </c>
      <c r="C37" s="216"/>
      <c r="D37" s="216"/>
      <c r="E37" s="216"/>
      <c r="F37" s="204">
        <f>(F39-F35)/F39</f>
        <v>0.8</v>
      </c>
    </row>
    <row r="38" spans="2:6" ht="20">
      <c r="B38" s="205" t="s">
        <v>484</v>
      </c>
      <c r="C38" s="217"/>
      <c r="D38" s="217"/>
      <c r="E38" s="217"/>
      <c r="F38" s="218" t="s">
        <v>482</v>
      </c>
    </row>
    <row r="39" spans="2:6" ht="19">
      <c r="B39" s="37" t="s">
        <v>11</v>
      </c>
      <c r="C39" s="14"/>
      <c r="D39" s="14"/>
      <c r="E39" s="14"/>
      <c r="F39" s="44">
        <f>F35*F36</f>
        <v>8.8320000000000007</v>
      </c>
    </row>
    <row r="40" spans="2:6" ht="20" thickBot="1">
      <c r="B40" s="41" t="s">
        <v>12</v>
      </c>
      <c r="C40" s="18"/>
      <c r="D40" s="18"/>
      <c r="E40" s="18"/>
      <c r="F40" s="45">
        <f>F39-F35</f>
        <v>7.0656000000000008</v>
      </c>
    </row>
    <row r="42" spans="2:6" ht="15" thickBot="1"/>
    <row r="43" spans="2:6" ht="26">
      <c r="B43" s="248" t="s">
        <v>301</v>
      </c>
      <c r="C43" s="249"/>
      <c r="D43" s="249"/>
      <c r="E43" s="249"/>
      <c r="F43" s="250"/>
    </row>
    <row r="44" spans="2:6" ht="19">
      <c r="B44" s="146"/>
      <c r="C44" s="102"/>
      <c r="D44" s="102"/>
      <c r="E44" s="102"/>
      <c r="F44" s="147"/>
    </row>
    <row r="45" spans="2:6" ht="20" thickBot="1">
      <c r="B45" s="148"/>
      <c r="C45" s="149"/>
      <c r="D45" s="149"/>
      <c r="E45" s="149"/>
      <c r="F45" s="150"/>
    </row>
    <row r="46" spans="2:6">
      <c r="B46" s="30"/>
      <c r="C46" s="54"/>
      <c r="D46" s="54"/>
      <c r="E46" s="54"/>
      <c r="F46" s="54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</row>
    <row r="55" spans="2:6">
      <c r="B55" s="30"/>
    </row>
    <row r="56" spans="2:6">
      <c r="B56" s="30"/>
    </row>
    <row r="57" spans="2:6">
      <c r="B57" s="30"/>
    </row>
  </sheetData>
  <mergeCells count="4">
    <mergeCell ref="B7:F7"/>
    <mergeCell ref="B9:F9"/>
    <mergeCell ref="B11:F11"/>
    <mergeCell ref="B43:F43"/>
  </mergeCells>
  <dataValidations count="1">
    <dataValidation type="list" allowBlank="1" showInputMessage="1" showErrorMessage="1" sqref="B9:F9" xr:uid="{5C55E76A-2020-EF41-896F-495D372578C5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01F044-A7EE-E744-9EEB-04B1C79A2712}">
          <x14:formula1>
            <xm:f>'Liste des fournisseurs'!$B$12:$B$307</xm:f>
          </x14:formula1>
          <xm:sqref>B27:B31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3567-921E-CC43-A0BC-B153310B0C1D}">
  <dimension ref="B6:F58"/>
  <sheetViews>
    <sheetView topLeftCell="A3" zoomScale="75" workbookViewId="0">
      <selection activeCell="K29" sqref="K29"/>
    </sheetView>
  </sheetViews>
  <sheetFormatPr baseColWidth="10" defaultRowHeight="14"/>
  <cols>
    <col min="1" max="1" width="10.83203125" style="11"/>
    <col min="2" max="2" width="44.5" style="9" customWidth="1"/>
    <col min="3" max="3" width="13.1640625" style="10" bestFit="1" customWidth="1"/>
    <col min="4" max="4" width="28.5" style="10" bestFit="1" customWidth="1"/>
    <col min="5" max="5" width="37.1640625" style="10" bestFit="1" customWidth="1"/>
    <col min="6" max="6" width="28.6640625" style="10" bestFit="1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469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470</v>
      </c>
      <c r="C11" s="231"/>
      <c r="D11" s="231"/>
      <c r="E11" s="231"/>
      <c r="F11" s="232"/>
    </row>
    <row r="12" spans="2:6" ht="26">
      <c r="B12" s="33"/>
      <c r="C12" s="33"/>
      <c r="D12" s="33"/>
      <c r="E12" s="33"/>
      <c r="F12" s="33"/>
    </row>
    <row r="13" spans="2:6">
      <c r="B13" s="12"/>
    </row>
    <row r="14" spans="2:6" ht="22">
      <c r="B14" s="60" t="s">
        <v>292</v>
      </c>
      <c r="C14" s="22">
        <v>1</v>
      </c>
    </row>
    <row r="15" spans="2:6" ht="21">
      <c r="B15" s="23"/>
      <c r="C15" s="24"/>
    </row>
    <row r="16" spans="2:6" ht="22">
      <c r="B16" s="21" t="s">
        <v>1</v>
      </c>
      <c r="C16" s="52">
        <f>(C17*F40)+F40</f>
        <v>10.551360000000001</v>
      </c>
    </row>
    <row r="17" spans="2:6" ht="22">
      <c r="B17" s="21" t="s">
        <v>2</v>
      </c>
      <c r="C17" s="26">
        <v>0.16</v>
      </c>
    </row>
    <row r="18" spans="2:6" ht="21">
      <c r="B18" s="27"/>
      <c r="C18" s="24"/>
      <c r="E18" s="53"/>
    </row>
    <row r="19" spans="2:6" ht="19">
      <c r="B19" s="62" t="s">
        <v>294</v>
      </c>
      <c r="C19" s="11"/>
    </row>
    <row r="20" spans="2:6" ht="19">
      <c r="B20" s="63" t="s">
        <v>465</v>
      </c>
      <c r="C20" s="11"/>
    </row>
    <row r="21" spans="2:6" ht="19">
      <c r="B21" s="63" t="s">
        <v>464</v>
      </c>
      <c r="C21" s="11"/>
    </row>
    <row r="22" spans="2:6" ht="20" thickBot="1">
      <c r="B22" s="63" t="s">
        <v>463</v>
      </c>
      <c r="C22" s="11"/>
    </row>
    <row r="23" spans="2:6" ht="21" thickTop="1" thickBot="1">
      <c r="B23" s="63" t="s">
        <v>462</v>
      </c>
      <c r="C23" s="105" t="s">
        <v>458</v>
      </c>
    </row>
    <row r="24" spans="2:6" ht="15" thickTop="1">
      <c r="B24" s="11"/>
      <c r="C24" s="11"/>
    </row>
    <row r="25" spans="2:6" ht="19">
      <c r="B25" s="62" t="s">
        <v>298</v>
      </c>
      <c r="C25" s="62"/>
    </row>
    <row r="26" spans="2:6" ht="15" thickBot="1">
      <c r="B26" s="12"/>
    </row>
    <row r="27" spans="2:6" ht="23" thickBot="1">
      <c r="B27" s="28" t="s">
        <v>3</v>
      </c>
      <c r="C27" s="29" t="s">
        <v>94</v>
      </c>
      <c r="D27" s="29" t="s">
        <v>5</v>
      </c>
      <c r="E27" s="29" t="s">
        <v>4</v>
      </c>
      <c r="F27" s="29" t="s">
        <v>6</v>
      </c>
    </row>
    <row r="28" spans="2:6" ht="17">
      <c r="B28" s="8" t="s">
        <v>433</v>
      </c>
      <c r="C28" s="5" t="str">
        <f>_xlfn.XLOOKUP(Tableau571231416182022243234363812345711131415[[#This Row],[Article]],'Liste des fournisseurs'!$B$12:$B$307,'Liste des fournisseurs'!$C$12:$C$307,"")</f>
        <v>cl</v>
      </c>
      <c r="D28" s="20">
        <v>3</v>
      </c>
      <c r="E28" s="6">
        <f>_xlfn.XLOOKUP(Tableau571231416182022243234363812345711131415[[#This Row],[Article]],'Liste des fournisseurs'!$B$12:$B$307,'Liste des fournisseurs'!$F$12:$F$307,"")</f>
        <v>0.16</v>
      </c>
      <c r="F28" s="7">
        <f>IFERROR(Tableau571231416182022243234363812345711131415[[#This Row],[Coût d''achat HT à l''unité]]*Tableau571231416182022243234363812345711131415[[#This Row],[Unités nécessaires]],"")</f>
        <v>0.48</v>
      </c>
    </row>
    <row r="29" spans="2:6" ht="17">
      <c r="B29" s="8" t="s">
        <v>429</v>
      </c>
      <c r="C29" s="5" t="str">
        <f>_xlfn.XLOOKUP(Tableau571231416182022243234363812345711131415[[#This Row],[Article]],'Liste des fournisseurs'!$B$12:$B$307,'Liste des fournisseurs'!$C$12:$C$307,"")</f>
        <v>g</v>
      </c>
      <c r="D29" s="20">
        <v>60</v>
      </c>
      <c r="E29" s="6">
        <f>_xlfn.XLOOKUP(Tableau571231416182022243234363812345711131415[[#This Row],[Article]],'Liste des fournisseurs'!$B$12:$B$307,'Liste des fournisseurs'!$F$12:$F$307,"")</f>
        <v>1.4999999999999999E-2</v>
      </c>
      <c r="F29" s="7">
        <f>IFERROR(Tableau571231416182022243234363812345711131415[[#This Row],[Coût d''achat HT à l''unité]]*Tableau571231416182022243234363812345711131415[[#This Row],[Unités nécessaires]],"")</f>
        <v>0.89999999999999991</v>
      </c>
    </row>
    <row r="30" spans="2:6" ht="17">
      <c r="B30" s="8" t="s">
        <v>175</v>
      </c>
      <c r="C30" s="5" t="str">
        <f>_xlfn.XLOOKUP(Tableau571231416182022243234363812345711131415[[#This Row],[Article]],'Liste des fournisseurs'!$B$12:$B$307,'Liste des fournisseurs'!$C$12:$C$307,"")</f>
        <v>cl</v>
      </c>
      <c r="D30" s="20">
        <v>15</v>
      </c>
      <c r="E30" s="6">
        <f>_xlfn.XLOOKUP(Tableau571231416182022243234363812345711131415[[#This Row],[Article]],'Liste des fournisseurs'!$B$12:$B$307,'Liste des fournisseurs'!$F$12:$F$307,"")</f>
        <v>2.5000000000000001E-2</v>
      </c>
      <c r="F30" s="7">
        <f>IFERROR(Tableau571231416182022243234363812345711131415[[#This Row],[Coût d''achat HT à l''unité]]*Tableau571231416182022243234363812345711131415[[#This Row],[Unités nécessaires]],"")</f>
        <v>0.375</v>
      </c>
    </row>
    <row r="31" spans="2:6" ht="17">
      <c r="B31" s="8" t="s">
        <v>422</v>
      </c>
      <c r="C31" s="5" t="str">
        <f>_xlfn.XLOOKUP(Tableau571231416182022243234363812345711131415[[#This Row],[Article]],'Liste des fournisseurs'!$B$12:$B$307,'Liste des fournisseurs'!$C$12:$C$307,"")</f>
        <v>cl</v>
      </c>
      <c r="D31" s="20">
        <v>1</v>
      </c>
      <c r="E31" s="6">
        <f>_xlfn.XLOOKUP(Tableau571231416182022243234363812345711131415[[#This Row],[Article]],'Liste des fournisseurs'!$B$12:$B$307,'Liste des fournisseurs'!$F$12:$F$307,"")</f>
        <v>0.14000000000000001</v>
      </c>
      <c r="F31" s="7">
        <f>IFERROR(Tableau571231416182022243234363812345711131415[[#This Row],[Coût d''achat HT à l''unité]]*Tableau571231416182022243234363812345711131415[[#This Row],[Unités nécessaires]],"")</f>
        <v>0.14000000000000001</v>
      </c>
    </row>
    <row r="32" spans="2:6" ht="16">
      <c r="B32" s="8"/>
      <c r="C32" s="5" t="str">
        <f>_xlfn.XLOOKUP(Tableau571231416182022243234363812345711131415[[#This Row],[Article]],'Liste des fournisseurs'!$B$12:$B$307,'Liste des fournisseurs'!$C$12:$C$307,"")</f>
        <v/>
      </c>
      <c r="D32" s="20"/>
      <c r="E32" s="6" t="str">
        <f>_xlfn.XLOOKUP(Tableau571231416182022243234363812345711131415[[#This Row],[Article]],'Liste des fournisseurs'!$B$12:$B$307,'Liste des fournisseurs'!$F$12:$F$307,"")</f>
        <v/>
      </c>
      <c r="F32" s="7" t="str">
        <f>IFERROR(Tableau571231416182022243234363812345711131415[[#This Row],[Coût d''achat HT à l''unité]]*Tableau571231416182022243234363812345711131415[[#This Row],[Unités nécessaires]],"")</f>
        <v/>
      </c>
    </row>
    <row r="33" spans="2:6" ht="17">
      <c r="B33" s="34" t="s">
        <v>7</v>
      </c>
      <c r="C33" s="35"/>
      <c r="D33" s="35"/>
      <c r="E33" s="35"/>
      <c r="F33" s="42">
        <f>SUM(Tableau571231416182022243234363812345711131415[Prix de revient HT])</f>
        <v>1.895</v>
      </c>
    </row>
    <row r="34" spans="2:6" ht="34">
      <c r="B34" s="37" t="s">
        <v>8</v>
      </c>
      <c r="C34" s="38"/>
      <c r="D34" s="38"/>
      <c r="E34" s="38"/>
      <c r="F34" s="43">
        <f>F33/C14</f>
        <v>1.895</v>
      </c>
    </row>
    <row r="35" spans="2:6" ht="17">
      <c r="B35" s="37" t="s">
        <v>9</v>
      </c>
      <c r="C35" s="40">
        <v>0.2</v>
      </c>
      <c r="D35" s="38"/>
      <c r="E35" s="38"/>
      <c r="F35" s="43">
        <f>SUM(F28:F32)</f>
        <v>1.895</v>
      </c>
    </row>
    <row r="36" spans="2:6" ht="34">
      <c r="B36" s="37" t="s">
        <v>10</v>
      </c>
      <c r="C36" s="38"/>
      <c r="D36" s="38"/>
      <c r="E36" s="38"/>
      <c r="F36" s="43">
        <f>F34+C35*F34</f>
        <v>2.274</v>
      </c>
    </row>
    <row r="37" spans="2:6" ht="20">
      <c r="B37" s="221" t="s">
        <v>13</v>
      </c>
      <c r="C37" s="225"/>
      <c r="D37" s="225"/>
      <c r="E37" s="225"/>
      <c r="F37" s="226">
        <v>4</v>
      </c>
    </row>
    <row r="38" spans="2:6" ht="20">
      <c r="B38" s="227" t="s">
        <v>483</v>
      </c>
      <c r="C38" s="216"/>
      <c r="D38" s="216"/>
      <c r="E38" s="216"/>
      <c r="F38" s="204">
        <f>(F40-F36)/F40</f>
        <v>0.75</v>
      </c>
    </row>
    <row r="39" spans="2:6" ht="20">
      <c r="B39" s="228" t="s">
        <v>484</v>
      </c>
      <c r="C39" s="217"/>
      <c r="D39" s="217"/>
      <c r="E39" s="217"/>
      <c r="F39" s="218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9.0960000000000001</v>
      </c>
    </row>
    <row r="41" spans="2:6" ht="20" thickBot="1">
      <c r="B41" s="41" t="s">
        <v>12</v>
      </c>
      <c r="C41" s="18"/>
      <c r="D41" s="18"/>
      <c r="E41" s="18"/>
      <c r="F41" s="45">
        <f>F40-F36</f>
        <v>6.8220000000000001</v>
      </c>
    </row>
    <row r="43" spans="2:6" ht="15" thickBot="1"/>
    <row r="44" spans="2:6" ht="26">
      <c r="B44" s="248" t="s">
        <v>301</v>
      </c>
      <c r="C44" s="249"/>
      <c r="D44" s="249"/>
      <c r="E44" s="249"/>
      <c r="F44" s="250"/>
    </row>
    <row r="45" spans="2:6" ht="19">
      <c r="B45" s="146"/>
      <c r="C45" s="102"/>
      <c r="D45" s="102"/>
      <c r="E45" s="102"/>
      <c r="F45" s="147"/>
    </row>
    <row r="46" spans="2:6" ht="20" thickBot="1">
      <c r="B46" s="148"/>
      <c r="C46" s="149"/>
      <c r="D46" s="149"/>
      <c r="E46" s="149"/>
      <c r="F46" s="150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7:F7"/>
    <mergeCell ref="B9:F9"/>
    <mergeCell ref="B11:F11"/>
    <mergeCell ref="B44:F44"/>
  </mergeCells>
  <dataValidations count="1">
    <dataValidation type="list" allowBlank="1" showInputMessage="1" showErrorMessage="1" sqref="B9:F9" xr:uid="{1BFF16EC-1807-1C4B-9757-5A85BC398A7B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E79C08-8B6D-2F40-815D-E9A1E390C506}">
          <x14:formula1>
            <xm:f>'Liste des fournisseurs'!$B$12:$B$307</xm:f>
          </x14:formula1>
          <xm:sqref>B28:B32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DCE8-406D-A44C-A997-39A01A683F7C}">
  <dimension ref="B6:F58"/>
  <sheetViews>
    <sheetView tabSelected="1" topLeftCell="B2" zoomScale="125" workbookViewId="0">
      <selection activeCell="F17" sqref="F17"/>
    </sheetView>
  </sheetViews>
  <sheetFormatPr baseColWidth="10" defaultRowHeight="14"/>
  <cols>
    <col min="1" max="1" width="10.83203125" style="11"/>
    <col min="2" max="2" width="44.5" style="9" customWidth="1"/>
    <col min="3" max="3" width="10.33203125" style="10" customWidth="1"/>
    <col min="4" max="4" width="28.5" style="10" bestFit="1" customWidth="1"/>
    <col min="5" max="5" width="37.1640625" style="10" bestFit="1" customWidth="1"/>
    <col min="6" max="6" width="28.6640625" style="10" bestFit="1" customWidth="1"/>
    <col min="7" max="16384" width="10.83203125" style="11"/>
  </cols>
  <sheetData>
    <row r="6" spans="2:6" ht="15" thickBot="1"/>
    <row r="7" spans="2:6" ht="27" thickBot="1">
      <c r="B7" s="233" t="s">
        <v>0</v>
      </c>
      <c r="C7" s="234"/>
      <c r="D7" s="234"/>
      <c r="E7" s="234"/>
      <c r="F7" s="235"/>
    </row>
    <row r="8" spans="2:6" ht="15" thickBot="1">
      <c r="B8" s="12"/>
    </row>
    <row r="9" spans="2:6" ht="27" thickBot="1">
      <c r="B9" s="233" t="s">
        <v>273</v>
      </c>
      <c r="C9" s="234"/>
      <c r="D9" s="234"/>
      <c r="E9" s="234"/>
      <c r="F9" s="235"/>
    </row>
    <row r="10" spans="2:6" ht="15" thickBot="1">
      <c r="B10" s="13"/>
    </row>
    <row r="11" spans="2:6" ht="27" thickBot="1">
      <c r="B11" s="230" t="s">
        <v>489</v>
      </c>
      <c r="C11" s="231"/>
      <c r="D11" s="231"/>
      <c r="E11" s="231"/>
      <c r="F11" s="232"/>
    </row>
    <row r="12" spans="2:6" ht="26">
      <c r="B12" s="33"/>
      <c r="C12" s="33"/>
      <c r="D12" s="33"/>
      <c r="E12" s="33"/>
      <c r="F12" s="33"/>
    </row>
    <row r="13" spans="2:6">
      <c r="B13" s="12"/>
    </row>
    <row r="14" spans="2:6" ht="22">
      <c r="B14" s="60" t="s">
        <v>292</v>
      </c>
      <c r="C14" s="22">
        <v>1</v>
      </c>
    </row>
    <row r="15" spans="2:6" ht="21">
      <c r="B15" s="23"/>
      <c r="C15" s="24"/>
    </row>
    <row r="16" spans="2:6" ht="22">
      <c r="B16" s="21" t="s">
        <v>1</v>
      </c>
      <c r="C16" s="52">
        <f>(C17*F40)+F40</f>
        <v>10.001177965714286</v>
      </c>
    </row>
    <row r="17" spans="2:6" ht="22">
      <c r="B17" s="21" t="s">
        <v>2</v>
      </c>
      <c r="C17" s="26">
        <v>0.16</v>
      </c>
    </row>
    <row r="18" spans="2:6" ht="21">
      <c r="B18" s="27"/>
      <c r="C18" s="24"/>
      <c r="E18" s="53"/>
    </row>
    <row r="19" spans="2:6" ht="19">
      <c r="B19" s="62" t="s">
        <v>294</v>
      </c>
      <c r="C19" s="11"/>
    </row>
    <row r="20" spans="2:6" ht="19">
      <c r="B20" s="63" t="s">
        <v>465</v>
      </c>
      <c r="C20" s="11"/>
    </row>
    <row r="21" spans="2:6" ht="19">
      <c r="B21" s="63" t="s">
        <v>464</v>
      </c>
      <c r="C21" s="11"/>
    </row>
    <row r="22" spans="2:6" ht="20" thickBot="1">
      <c r="B22" s="63" t="s">
        <v>463</v>
      </c>
      <c r="C22" s="11"/>
    </row>
    <row r="23" spans="2:6" ht="21" thickTop="1" thickBot="1">
      <c r="B23" s="63" t="s">
        <v>462</v>
      </c>
      <c r="C23" s="105" t="s">
        <v>458</v>
      </c>
    </row>
    <row r="24" spans="2:6" ht="15" thickTop="1">
      <c r="B24" s="11"/>
      <c r="C24" s="11"/>
    </row>
    <row r="25" spans="2:6" ht="19">
      <c r="B25" s="62" t="s">
        <v>298</v>
      </c>
      <c r="C25" s="62"/>
    </row>
    <row r="26" spans="2:6" ht="15" thickBot="1">
      <c r="B26" s="12"/>
    </row>
    <row r="27" spans="2:6" ht="23" thickBot="1">
      <c r="B27" s="28" t="s">
        <v>3</v>
      </c>
      <c r="C27" s="29" t="s">
        <v>94</v>
      </c>
      <c r="D27" s="29" t="s">
        <v>5</v>
      </c>
      <c r="E27" s="29" t="s">
        <v>4</v>
      </c>
      <c r="F27" s="29" t="s">
        <v>6</v>
      </c>
    </row>
    <row r="28" spans="2:6" ht="17">
      <c r="B28" s="8" t="s">
        <v>242</v>
      </c>
      <c r="C28" s="5" t="str">
        <f>_xlfn.XLOOKUP(Tableau57123141618202224323436381234571113141523[[#This Row],[Article]],'Liste des fournisseurs'!$B$12:$B$307,'Liste des fournisseurs'!$C$12:$C$307,"")</f>
        <v>cl</v>
      </c>
      <c r="D28" s="20">
        <v>12</v>
      </c>
      <c r="E28" s="6">
        <f>_xlfn.XLOOKUP(Tableau57123141618202224323436381234571113141523[[#This Row],[Article]],'Liste des fournisseurs'!$B$12:$B$307,'Liste des fournisseurs'!$F$12:$F$307,"")</f>
        <v>2.86E-2</v>
      </c>
      <c r="F28" s="7">
        <f>IFERROR(Tableau57123141618202224323436381234571113141523[[#This Row],[Coût d''achat HT à l''unité]]*Tableau57123141618202224323436381234571113141523[[#This Row],[Unités nécessaires]],"")</f>
        <v>0.34320000000000001</v>
      </c>
    </row>
    <row r="29" spans="2:6" ht="17">
      <c r="B29" s="8" t="s">
        <v>246</v>
      </c>
      <c r="C29" s="5" t="str">
        <f>_xlfn.XLOOKUP(Tableau57123141618202224323436381234571113141523[[#This Row],[Article]],'Liste des fournisseurs'!$B$12:$B$307,'Liste des fournisseurs'!$C$12:$C$307,"")</f>
        <v>cl</v>
      </c>
      <c r="D29" s="20">
        <v>12</v>
      </c>
      <c r="E29" s="6">
        <f>_xlfn.XLOOKUP(Tableau57123141618202224323436381234571113141523[[#This Row],[Article]],'Liste des fournisseurs'!$B$12:$B$307,'Liste des fournisseurs'!$F$12:$F$307,"")</f>
        <v>2.86E-2</v>
      </c>
      <c r="F29" s="7">
        <f>IFERROR(Tableau57123141618202224323436381234571113141523[[#This Row],[Coût d''achat HT à l''unité]]*Tableau57123141618202224323436381234571113141523[[#This Row],[Unités nécessaires]],"")</f>
        <v>0.34320000000000001</v>
      </c>
    </row>
    <row r="30" spans="2:6" ht="17">
      <c r="B30" s="8" t="s">
        <v>477</v>
      </c>
      <c r="C30" s="5" t="str">
        <f>_xlfn.XLOOKUP(Tableau57123141618202224323436381234571113141523[[#This Row],[Article]],'Liste des fournisseurs'!$B$12:$B$307,'Liste des fournisseurs'!$C$12:$C$307,"")</f>
        <v>cl</v>
      </c>
      <c r="D30" s="20">
        <v>1</v>
      </c>
      <c r="E30" s="6">
        <f>_xlfn.XLOOKUP(Tableau57123141618202224323436381234571113141523[[#This Row],[Article]],'Liste des fournisseurs'!$B$12:$B$307,'Liste des fournisseurs'!$F$12:$F$307,"")</f>
        <v>0.17142857142857143</v>
      </c>
      <c r="F30" s="7">
        <f>IFERROR(Tableau57123141618202224323436381234571113141523[[#This Row],[Coût d''achat HT à l''unité]]*Tableau57123141618202224323436381234571113141523[[#This Row],[Unités nécessaires]],"")</f>
        <v>0.17142857142857143</v>
      </c>
    </row>
    <row r="31" spans="2:6" ht="17">
      <c r="B31" s="8" t="s">
        <v>435</v>
      </c>
      <c r="C31" s="5" t="str">
        <f>_xlfn.XLOOKUP(Tableau57123141618202224323436381234571113141523[[#This Row],[Article]],'Liste des fournisseurs'!$B$12:$B$307,'Liste des fournisseurs'!$C$12:$C$307,"")</f>
        <v>cl</v>
      </c>
      <c r="D31" s="20">
        <v>2</v>
      </c>
      <c r="E31" s="6">
        <f>_xlfn.XLOOKUP(Tableau57123141618202224323436381234571113141523[[#This Row],[Article]],'Liste des fournisseurs'!$B$12:$B$307,'Liste des fournisseurs'!$F$12:$F$307,"")</f>
        <v>0.16</v>
      </c>
      <c r="F31" s="7">
        <f>IFERROR(Tableau57123141618202224323436381234571113141523[[#This Row],[Coût d''achat HT à l''unité]]*Tableau57123141618202224323436381234571113141523[[#This Row],[Unités nécessaires]],"")</f>
        <v>0.32</v>
      </c>
    </row>
    <row r="32" spans="2:6" ht="16">
      <c r="B32" s="8"/>
      <c r="C32" s="5" t="str">
        <f>_xlfn.XLOOKUP(Tableau57123141618202224323436381234571113141523[[#This Row],[Article]],'Liste des fournisseurs'!$B$12:$B$307,'Liste des fournisseurs'!$C$12:$C$307,"")</f>
        <v/>
      </c>
      <c r="D32" s="20"/>
      <c r="E32" s="6" t="str">
        <f>_xlfn.XLOOKUP(Tableau57123141618202224323436381234571113141523[[#This Row],[Article]],'Liste des fournisseurs'!$B$12:$B$307,'Liste des fournisseurs'!$F$12:$F$307,"")</f>
        <v/>
      </c>
      <c r="F32" s="7" t="str">
        <f>IFERROR(Tableau57123141618202224323436381234571113141523[[#This Row],[Coût d''achat HT à l''unité]]*Tableau57123141618202224323436381234571113141523[[#This Row],[Unités nécessaires]],"")</f>
        <v/>
      </c>
    </row>
    <row r="33" spans="2:6" ht="17">
      <c r="B33" s="34" t="s">
        <v>7</v>
      </c>
      <c r="C33" s="35"/>
      <c r="D33" s="35"/>
      <c r="E33" s="35"/>
      <c r="F33" s="42">
        <f>SUM(Tableau57123141618202224323436381234571113141523[Prix de revient HT])</f>
        <v>1.1778285714285714</v>
      </c>
    </row>
    <row r="34" spans="2:6" ht="34">
      <c r="B34" s="37" t="s">
        <v>8</v>
      </c>
      <c r="C34" s="38"/>
      <c r="D34" s="38"/>
      <c r="E34" s="38"/>
      <c r="F34" s="43">
        <f>F33/C14</f>
        <v>1.1778285714285714</v>
      </c>
    </row>
    <row r="35" spans="2:6" ht="17">
      <c r="B35" s="37" t="s">
        <v>9</v>
      </c>
      <c r="C35" s="40">
        <v>0.2</v>
      </c>
      <c r="D35" s="38"/>
      <c r="E35" s="38"/>
      <c r="F35" s="43">
        <f>SUM(F28:F32)</f>
        <v>1.1778285714285714</v>
      </c>
    </row>
    <row r="36" spans="2:6" ht="17">
      <c r="B36" s="37" t="s">
        <v>10</v>
      </c>
      <c r="C36" s="38"/>
      <c r="D36" s="38"/>
      <c r="E36" s="38"/>
      <c r="F36" s="43">
        <f>F34+C35*F34</f>
        <v>1.4133942857142858</v>
      </c>
    </row>
    <row r="37" spans="2:6" ht="20">
      <c r="B37" s="221" t="s">
        <v>13</v>
      </c>
      <c r="C37" s="225"/>
      <c r="D37" s="225"/>
      <c r="E37" s="225"/>
      <c r="F37" s="226">
        <v>6.1</v>
      </c>
    </row>
    <row r="38" spans="2:6" ht="20">
      <c r="B38" s="227" t="s">
        <v>483</v>
      </c>
      <c r="C38" s="216"/>
      <c r="D38" s="216"/>
      <c r="E38" s="216"/>
      <c r="F38" s="204">
        <f>(F40-F36)/F40</f>
        <v>0.83606557377049173</v>
      </c>
    </row>
    <row r="39" spans="2:6" ht="20">
      <c r="B39" s="228" t="s">
        <v>484</v>
      </c>
      <c r="C39" s="217"/>
      <c r="D39" s="217"/>
      <c r="E39" s="217"/>
      <c r="F39" s="218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8.6217051428571434</v>
      </c>
    </row>
    <row r="41" spans="2:6" ht="20" thickBot="1">
      <c r="B41" s="41" t="s">
        <v>12</v>
      </c>
      <c r="C41" s="18"/>
      <c r="D41" s="18"/>
      <c r="E41" s="18"/>
      <c r="F41" s="45">
        <f>F40-F36</f>
        <v>7.2083108571428571</v>
      </c>
    </row>
    <row r="43" spans="2:6" ht="15" thickBot="1"/>
    <row r="44" spans="2:6" ht="26">
      <c r="B44" s="248" t="s">
        <v>301</v>
      </c>
      <c r="C44" s="249"/>
      <c r="D44" s="249"/>
      <c r="E44" s="249"/>
      <c r="F44" s="250"/>
    </row>
    <row r="45" spans="2:6" ht="19">
      <c r="B45" s="146"/>
      <c r="C45" s="102"/>
      <c r="D45" s="102"/>
      <c r="E45" s="102"/>
      <c r="F45" s="147"/>
    </row>
    <row r="46" spans="2:6" ht="20" thickBot="1">
      <c r="B46" s="148"/>
      <c r="C46" s="149"/>
      <c r="D46" s="149"/>
      <c r="E46" s="149"/>
      <c r="F46" s="150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7:F7"/>
    <mergeCell ref="B9:F9"/>
    <mergeCell ref="B11:F11"/>
    <mergeCell ref="B44:F44"/>
  </mergeCells>
  <dataValidations count="1">
    <dataValidation type="list" allowBlank="1" showInputMessage="1" showErrorMessage="1" sqref="B9:F9" xr:uid="{F122C36C-9DD3-6144-B7C0-C5604DA264D2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3BD45D-05D9-9D4F-9995-892C3B9C0857}">
          <x14:formula1>
            <xm:f>'Liste des fournisseurs'!$B$12:$B$307</xm:f>
          </x14:formula1>
          <xm:sqref>B28:B32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5DDA-0F34-564D-AA9A-35591C4D9414}">
  <dimension ref="B7:I58"/>
  <sheetViews>
    <sheetView topLeftCell="A2" workbookViewId="0">
      <selection activeCell="F38" sqref="F38"/>
    </sheetView>
  </sheetViews>
  <sheetFormatPr baseColWidth="10" defaultRowHeight="14"/>
  <cols>
    <col min="1" max="1" width="10.83203125" style="11"/>
    <col min="2" max="2" width="44.33203125" style="9" bestFit="1" customWidth="1"/>
    <col min="3" max="3" width="13" style="10" bestFit="1" customWidth="1"/>
    <col min="4" max="4" width="28.1640625" style="10" bestFit="1" customWidth="1"/>
    <col min="5" max="5" width="36.5" style="10" bestFit="1" customWidth="1"/>
    <col min="6" max="6" width="27.6640625" style="10" bestFit="1" customWidth="1"/>
    <col min="7" max="16384" width="10.83203125" style="11"/>
  </cols>
  <sheetData>
    <row r="7" spans="2:6" ht="15" thickBot="1"/>
    <row r="8" spans="2:6" ht="27" thickBot="1">
      <c r="B8" s="233" t="s">
        <v>0</v>
      </c>
      <c r="C8" s="234"/>
      <c r="D8" s="234"/>
      <c r="E8" s="234"/>
      <c r="F8" s="235"/>
    </row>
    <row r="9" spans="2:6" ht="15" thickBot="1">
      <c r="B9" s="12"/>
    </row>
    <row r="10" spans="2:6" ht="27" thickBot="1">
      <c r="B10" s="233" t="s">
        <v>274</v>
      </c>
      <c r="C10" s="234"/>
      <c r="D10" s="234"/>
      <c r="E10" s="234"/>
      <c r="F10" s="235"/>
    </row>
    <row r="11" spans="2:6" ht="15" thickBot="1">
      <c r="B11" s="13"/>
    </row>
    <row r="12" spans="2:6" ht="27" thickBot="1">
      <c r="B12" s="230" t="s">
        <v>472</v>
      </c>
      <c r="C12" s="231"/>
      <c r="D12" s="231"/>
      <c r="E12" s="231"/>
      <c r="F12" s="232"/>
    </row>
    <row r="13" spans="2:6">
      <c r="B13" s="12"/>
    </row>
    <row r="14" spans="2:6" ht="22">
      <c r="B14" s="60" t="s">
        <v>292</v>
      </c>
      <c r="C14" s="22">
        <v>1</v>
      </c>
    </row>
    <row r="15" spans="2:6" ht="21">
      <c r="B15" s="23"/>
      <c r="C15" s="24"/>
    </row>
    <row r="16" spans="2:6" ht="22">
      <c r="B16" s="21" t="s">
        <v>1</v>
      </c>
      <c r="C16" s="52">
        <f>(C17*F40)+F40</f>
        <v>12.009281142857144</v>
      </c>
    </row>
    <row r="17" spans="2:6" ht="22">
      <c r="B17" s="21" t="s">
        <v>2</v>
      </c>
      <c r="C17" s="26">
        <v>0.16</v>
      </c>
    </row>
    <row r="18" spans="2:6" ht="21">
      <c r="B18" s="27"/>
      <c r="C18" s="24"/>
      <c r="E18" s="53"/>
    </row>
    <row r="19" spans="2:6" ht="20" thickBot="1">
      <c r="B19" s="62" t="s">
        <v>294</v>
      </c>
      <c r="C19" s="11"/>
    </row>
    <row r="20" spans="2:6" ht="21" thickTop="1" thickBot="1">
      <c r="B20" s="63" t="s">
        <v>465</v>
      </c>
      <c r="C20" s="105" t="s">
        <v>458</v>
      </c>
    </row>
    <row r="21" spans="2:6" ht="20" thickTop="1">
      <c r="B21" s="63" t="s">
        <v>464</v>
      </c>
      <c r="C21" s="11"/>
    </row>
    <row r="22" spans="2:6" ht="19">
      <c r="B22" s="63" t="s">
        <v>463</v>
      </c>
      <c r="C22" s="11"/>
    </row>
    <row r="23" spans="2:6" ht="19">
      <c r="B23" s="63" t="s">
        <v>462</v>
      </c>
      <c r="C23" s="11"/>
    </row>
    <row r="24" spans="2:6">
      <c r="B24" s="11"/>
      <c r="C24" s="11"/>
    </row>
    <row r="25" spans="2:6" ht="19">
      <c r="B25" s="62" t="s">
        <v>298</v>
      </c>
      <c r="C25" s="62"/>
    </row>
    <row r="26" spans="2:6" ht="15" thickBot="1">
      <c r="B26" s="12"/>
    </row>
    <row r="27" spans="2:6" ht="23" thickBot="1">
      <c r="B27" s="28" t="s">
        <v>3</v>
      </c>
      <c r="C27" s="29" t="s">
        <v>94</v>
      </c>
      <c r="D27" s="29" t="s">
        <v>5</v>
      </c>
      <c r="E27" s="29" t="s">
        <v>4</v>
      </c>
      <c r="F27" s="29" t="s">
        <v>6</v>
      </c>
    </row>
    <row r="28" spans="2:6" ht="17">
      <c r="B28" s="8" t="s">
        <v>479</v>
      </c>
      <c r="C28" s="5" t="str">
        <f>_xlfn.XLOOKUP(Tableau571231416182022243234363812345711131416[[#This Row],[Article]],'Liste des fournisseurs'!$B$12:$B$307,'Liste des fournisseurs'!$C$12:$C$307,"")</f>
        <v>cl</v>
      </c>
      <c r="D28" s="20">
        <v>3.5</v>
      </c>
      <c r="E28" s="6">
        <f>_xlfn.XLOOKUP(Tableau571231416182022243234363812345711131416[[#This Row],[Article]],'Liste des fournisseurs'!$B$12:$B$307,'Liste des fournisseurs'!$F$12:$F$307,"")</f>
        <v>0.185</v>
      </c>
      <c r="F28" s="7">
        <f>IFERROR(Tableau571231416182022243234363812345711131416[[#This Row],[Coût d''achat HT à l''unité]]*Tableau571231416182022243234363812345711131416[[#This Row],[Unités nécessaires]],"")</f>
        <v>0.64749999999999996</v>
      </c>
    </row>
    <row r="29" spans="2:6" ht="17">
      <c r="B29" s="8" t="s">
        <v>276</v>
      </c>
      <c r="C29" s="5" t="str">
        <f>_xlfn.XLOOKUP(Tableau571231416182022243234363812345711131416[[#This Row],[Article]],'Liste des fournisseurs'!$B$12:$B$307,'Liste des fournisseurs'!$C$12:$C$307,"")</f>
        <v>cl</v>
      </c>
      <c r="D29" s="20">
        <v>1.5</v>
      </c>
      <c r="E29" s="6">
        <f>_xlfn.XLOOKUP(Tableau571231416182022243234363812345711131416[[#This Row],[Article]],'Liste des fournisseurs'!$B$12:$B$307,'Liste des fournisseurs'!$F$12:$F$307,"")</f>
        <v>0.02</v>
      </c>
      <c r="F29" s="7">
        <f>IFERROR(Tableau571231416182022243234363812345711131416[[#This Row],[Coût d''achat HT à l''unité]]*Tableau571231416182022243234363812345711131416[[#This Row],[Unités nécessaires]],"")</f>
        <v>0.03</v>
      </c>
    </row>
    <row r="30" spans="2:6" ht="17">
      <c r="B30" s="8" t="s">
        <v>241</v>
      </c>
      <c r="C30" s="5" t="str">
        <f>_xlfn.XLOOKUP(Tableau571231416182022243234363812345711131416[[#This Row],[Article]],'Liste des fournisseurs'!$B$12:$B$307,'Liste des fournisseurs'!$C$12:$C$307,"")</f>
        <v>cl</v>
      </c>
      <c r="D30" s="20">
        <v>1</v>
      </c>
      <c r="E30" s="6">
        <f>_xlfn.XLOOKUP(Tableau571231416182022243234363812345711131416[[#This Row],[Article]],'Liste des fournisseurs'!$B$12:$B$307,'Liste des fournisseurs'!$F$12:$F$307,"")</f>
        <v>0.17142857142857143</v>
      </c>
      <c r="F30" s="7">
        <f>IFERROR(Tableau571231416182022243234363812345711131416[[#This Row],[Coût d''achat HT à l''unité]]*Tableau571231416182022243234363812345711131416[[#This Row],[Unités nécessaires]],"")</f>
        <v>0.17142857142857143</v>
      </c>
    </row>
    <row r="31" spans="2:6" ht="17">
      <c r="B31" s="8" t="s">
        <v>486</v>
      </c>
      <c r="C31" s="5" t="str">
        <f>_xlfn.XLOOKUP(Tableau571231416182022243234363812345711131416[[#This Row],[Article]],'Liste des fournisseurs'!$B$12:$B$307,'Liste des fournisseurs'!$C$12:$C$307,"")</f>
        <v>cl</v>
      </c>
      <c r="D31" s="20">
        <v>1.5</v>
      </c>
      <c r="E31" s="6">
        <f>_xlfn.XLOOKUP(Tableau571231416182022243234363812345711131416[[#This Row],[Article]],'Liste des fournisseurs'!$B$12:$B$307,'Liste des fournisseurs'!$F$12:$F$307,"")</f>
        <v>0.17142857142857143</v>
      </c>
      <c r="F31" s="7">
        <f>IFERROR(Tableau571231416182022243234363812345711131416[[#This Row],[Coût d''achat HT à l''unité]]*Tableau571231416182022243234363812345711131416[[#This Row],[Unités nécessaires]],"")</f>
        <v>0.25714285714285712</v>
      </c>
    </row>
    <row r="32" spans="2:6" ht="16">
      <c r="B32" s="8"/>
      <c r="C32" s="5" t="str">
        <f>_xlfn.XLOOKUP(Tableau571231416182022243234363812345711131416[[#This Row],[Article]],'Liste des fournisseurs'!$B$12:$B$307,'Liste des fournisseurs'!$C$12:$C$307,"")</f>
        <v/>
      </c>
      <c r="D32" s="20"/>
      <c r="E32" s="6" t="str">
        <f>_xlfn.XLOOKUP(Tableau571231416182022243234363812345711131416[[#This Row],[Article]],'Liste des fournisseurs'!$B$12:$B$307,'Liste des fournisseurs'!$F$12:$F$307,"")</f>
        <v/>
      </c>
      <c r="F32" s="7" t="str">
        <f>IFERROR(Tableau571231416182022243234363812345711131416[[#This Row],[Coût d''achat HT à l''unité]]*Tableau571231416182022243234363812345711131416[[#This Row],[Unités nécessaires]],"")</f>
        <v/>
      </c>
    </row>
    <row r="33" spans="2:9" ht="17">
      <c r="B33" s="34" t="s">
        <v>7</v>
      </c>
      <c r="C33" s="35"/>
      <c r="D33" s="35"/>
      <c r="E33" s="35"/>
      <c r="F33" s="42">
        <f>SUM(Tableau571231416182022243234363812345711131416[Prix de revient HT])</f>
        <v>1.1060714285714286</v>
      </c>
      <c r="I33" s="203"/>
    </row>
    <row r="34" spans="2:9" ht="34">
      <c r="B34" s="37" t="s">
        <v>8</v>
      </c>
      <c r="C34" s="38"/>
      <c r="D34" s="38"/>
      <c r="E34" s="38"/>
      <c r="F34" s="43">
        <f>F33/C14</f>
        <v>1.1060714285714286</v>
      </c>
    </row>
    <row r="35" spans="2:9" ht="17">
      <c r="B35" s="37" t="s">
        <v>9</v>
      </c>
      <c r="C35" s="40">
        <v>0.2</v>
      </c>
      <c r="D35" s="38"/>
      <c r="E35" s="38"/>
      <c r="F35" s="43">
        <f>SUM(F28:F32)</f>
        <v>1.1060714285714286</v>
      </c>
    </row>
    <row r="36" spans="2:9" ht="17">
      <c r="B36" s="37" t="s">
        <v>10</v>
      </c>
      <c r="C36" s="38"/>
      <c r="D36" s="38"/>
      <c r="E36" s="38"/>
      <c r="F36" s="43">
        <f>F34+C35*F34</f>
        <v>1.3272857142857144</v>
      </c>
    </row>
    <row r="37" spans="2:9" ht="20">
      <c r="B37" s="221" t="s">
        <v>13</v>
      </c>
      <c r="C37" s="225"/>
      <c r="D37" s="225"/>
      <c r="E37" s="225"/>
      <c r="F37" s="226">
        <v>7.8</v>
      </c>
    </row>
    <row r="38" spans="2:9" ht="20">
      <c r="B38" s="227" t="s">
        <v>483</v>
      </c>
      <c r="C38" s="216"/>
      <c r="D38" s="216"/>
      <c r="E38" s="216"/>
      <c r="F38" s="204">
        <f>(F40-F36)/F40</f>
        <v>0.87179487179487181</v>
      </c>
    </row>
    <row r="39" spans="2:9" ht="20">
      <c r="B39" s="228" t="s">
        <v>484</v>
      </c>
      <c r="C39" s="217"/>
      <c r="D39" s="217"/>
      <c r="E39" s="217"/>
      <c r="F39" s="218" t="s">
        <v>482</v>
      </c>
    </row>
    <row r="40" spans="2:9" ht="19">
      <c r="B40" s="37" t="s">
        <v>11</v>
      </c>
      <c r="C40" s="14"/>
      <c r="D40" s="14"/>
      <c r="E40" s="14"/>
      <c r="F40" s="44">
        <f>F36*F37</f>
        <v>10.352828571428573</v>
      </c>
      <c r="H40" s="203"/>
    </row>
    <row r="41" spans="2:9" ht="20" thickBot="1">
      <c r="B41" s="41" t="s">
        <v>12</v>
      </c>
      <c r="C41" s="18"/>
      <c r="D41" s="18"/>
      <c r="E41" s="18"/>
      <c r="F41" s="45">
        <f>F40-F36</f>
        <v>9.0255428571428578</v>
      </c>
    </row>
    <row r="43" spans="2:9" ht="15" thickBot="1"/>
    <row r="44" spans="2:9" ht="26">
      <c r="B44" s="248" t="s">
        <v>301</v>
      </c>
      <c r="C44" s="249"/>
      <c r="D44" s="249"/>
      <c r="E44" s="249"/>
      <c r="F44" s="250"/>
    </row>
    <row r="45" spans="2:9" ht="19">
      <c r="B45" s="146"/>
      <c r="C45" s="102"/>
      <c r="D45" s="102"/>
      <c r="E45" s="102"/>
      <c r="F45" s="147"/>
    </row>
    <row r="46" spans="2:9" ht="20" thickBot="1">
      <c r="B46" s="148"/>
      <c r="C46" s="149"/>
      <c r="D46" s="149"/>
      <c r="E46" s="149"/>
      <c r="F46" s="150"/>
    </row>
    <row r="47" spans="2:9">
      <c r="B47" s="30"/>
      <c r="C47" s="54"/>
      <c r="D47" s="54"/>
      <c r="E47" s="54"/>
      <c r="F47" s="54"/>
    </row>
    <row r="48" spans="2:9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8:F8"/>
    <mergeCell ref="B10:F10"/>
    <mergeCell ref="B12:F12"/>
    <mergeCell ref="B44:F44"/>
  </mergeCells>
  <dataValidations count="1">
    <dataValidation type="list" allowBlank="1" showInputMessage="1" showErrorMessage="1" sqref="B10:F10" xr:uid="{D784A7A0-CEB9-AE4F-8DE1-6211DC5C24F5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359246-EC0B-974D-913E-2797A7CC6E42}">
          <x14:formula1>
            <xm:f>'Liste des fournisseurs'!$B$12:$B$307</xm:f>
          </x14:formula1>
          <xm:sqref>B28:B32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6414-6EE3-D742-B114-71A100679D39}">
  <dimension ref="B7:H58"/>
  <sheetViews>
    <sheetView topLeftCell="A9" zoomScale="132" workbookViewId="0">
      <selection activeCell="F38" sqref="F38"/>
    </sheetView>
  </sheetViews>
  <sheetFormatPr baseColWidth="10" defaultRowHeight="14"/>
  <cols>
    <col min="1" max="1" width="10.83203125" style="11"/>
    <col min="2" max="2" width="45.1640625" style="9" bestFit="1" customWidth="1"/>
    <col min="3" max="3" width="13" style="10" bestFit="1" customWidth="1"/>
    <col min="4" max="4" width="28.1640625" style="10" bestFit="1" customWidth="1"/>
    <col min="5" max="5" width="36.6640625" style="10" bestFit="1" customWidth="1"/>
    <col min="6" max="6" width="28" style="10" bestFit="1" customWidth="1"/>
    <col min="7" max="16384" width="10.83203125" style="11"/>
  </cols>
  <sheetData>
    <row r="7" spans="2:6" ht="15" thickBot="1"/>
    <row r="8" spans="2:6" ht="27" thickBot="1">
      <c r="B8" s="233" t="s">
        <v>0</v>
      </c>
      <c r="C8" s="234"/>
      <c r="D8" s="234"/>
      <c r="E8" s="234"/>
      <c r="F8" s="235"/>
    </row>
    <row r="9" spans="2:6" ht="15" thickBot="1">
      <c r="B9" s="12"/>
    </row>
    <row r="10" spans="2:6" ht="27" thickBot="1">
      <c r="B10" s="233" t="s">
        <v>274</v>
      </c>
      <c r="C10" s="234"/>
      <c r="D10" s="234"/>
      <c r="E10" s="234"/>
      <c r="F10" s="235"/>
    </row>
    <row r="11" spans="2:6" ht="15" thickBot="1">
      <c r="B11" s="13"/>
    </row>
    <row r="12" spans="2:6" ht="27" thickBot="1">
      <c r="B12" s="230" t="s">
        <v>476</v>
      </c>
      <c r="C12" s="231"/>
      <c r="D12" s="231"/>
      <c r="E12" s="231"/>
      <c r="F12" s="232"/>
    </row>
    <row r="13" spans="2:6">
      <c r="B13" s="12"/>
    </row>
    <row r="14" spans="2:6" ht="22">
      <c r="B14" s="60" t="s">
        <v>292</v>
      </c>
      <c r="C14" s="22">
        <v>1</v>
      </c>
    </row>
    <row r="15" spans="2:6" ht="21">
      <c r="B15" s="23"/>
      <c r="C15" s="24"/>
    </row>
    <row r="16" spans="2:6" ht="22">
      <c r="B16" s="21" t="s">
        <v>1</v>
      </c>
      <c r="C16" s="52">
        <f>(C17*F40)+F40</f>
        <v>14.96245332096</v>
      </c>
    </row>
    <row r="17" spans="2:8" ht="22">
      <c r="B17" s="21" t="s">
        <v>2</v>
      </c>
      <c r="C17" s="26">
        <v>0.16</v>
      </c>
    </row>
    <row r="18" spans="2:8" ht="21">
      <c r="B18" s="27"/>
      <c r="C18" s="24"/>
      <c r="E18" s="53"/>
    </row>
    <row r="19" spans="2:8" ht="20" thickBot="1">
      <c r="B19" s="62" t="s">
        <v>294</v>
      </c>
      <c r="C19" s="11"/>
    </row>
    <row r="20" spans="2:8" ht="21" thickTop="1" thickBot="1">
      <c r="B20" s="63" t="s">
        <v>465</v>
      </c>
      <c r="C20" s="105" t="s">
        <v>458</v>
      </c>
    </row>
    <row r="21" spans="2:8" ht="20" thickTop="1">
      <c r="B21" s="63" t="s">
        <v>464</v>
      </c>
      <c r="C21" s="11"/>
    </row>
    <row r="22" spans="2:8" ht="19">
      <c r="B22" s="63" t="s">
        <v>463</v>
      </c>
      <c r="C22" s="11"/>
    </row>
    <row r="23" spans="2:8" ht="19">
      <c r="B23" s="63" t="s">
        <v>462</v>
      </c>
      <c r="C23" s="11"/>
    </row>
    <row r="24" spans="2:8">
      <c r="B24" s="11"/>
      <c r="C24" s="11"/>
    </row>
    <row r="25" spans="2:8" ht="19">
      <c r="B25" s="62" t="s">
        <v>298</v>
      </c>
      <c r="C25" s="62"/>
    </row>
    <row r="26" spans="2:8" ht="15" thickBot="1">
      <c r="B26" s="12"/>
    </row>
    <row r="27" spans="2:8" ht="23" thickBot="1">
      <c r="B27" s="28" t="s">
        <v>3</v>
      </c>
      <c r="C27" s="29" t="s">
        <v>94</v>
      </c>
      <c r="D27" s="29" t="s">
        <v>5</v>
      </c>
      <c r="E27" s="29" t="s">
        <v>4</v>
      </c>
      <c r="F27" s="29" t="s">
        <v>6</v>
      </c>
    </row>
    <row r="28" spans="2:8" ht="17">
      <c r="B28" s="8" t="s">
        <v>480</v>
      </c>
      <c r="C28" s="5" t="str">
        <f>_xlfn.XLOOKUP(Tableau57123141618202224323436381234571113141617[[#This Row],[Article]],'Liste des fournisseurs'!$B$12:$B$307,'Liste des fournisseurs'!$C$12:$C$307,"")</f>
        <v>cl</v>
      </c>
      <c r="D28" s="20">
        <v>6</v>
      </c>
      <c r="E28" s="6">
        <f>_xlfn.XLOOKUP(Tableau57123141618202224323436381234571113141617[[#This Row],[Article]],'Liste des fournisseurs'!$B$12:$B$307,'Liste des fournisseurs'!$F$12:$F$307,"")</f>
        <v>0.16428571428571428</v>
      </c>
      <c r="F28" s="7">
        <f>IFERROR(Tableau57123141618202224323436381234571113141617[[#This Row],[Coût d''achat HT à l''unité]]*Tableau57123141618202224323436381234571113141617[[#This Row],[Unités nécessaires]],"")</f>
        <v>0.98571428571428577</v>
      </c>
      <c r="H28" s="202"/>
    </row>
    <row r="29" spans="2:8" ht="17">
      <c r="B29" s="8" t="s">
        <v>276</v>
      </c>
      <c r="C29" s="5" t="str">
        <f>_xlfn.XLOOKUP(Tableau57123141618202224323436381234571113141617[[#This Row],[Article]],'Liste des fournisseurs'!$B$12:$B$307,'Liste des fournisseurs'!$C$12:$C$307,"")</f>
        <v>cl</v>
      </c>
      <c r="D29" s="20">
        <v>3</v>
      </c>
      <c r="E29" s="6">
        <f>_xlfn.XLOOKUP(Tableau57123141618202224323436381234571113141617[[#This Row],[Article]],'Liste des fournisseurs'!$B$12:$B$307,'Liste des fournisseurs'!$F$12:$F$307,"")</f>
        <v>0.02</v>
      </c>
      <c r="F29" s="7">
        <f>IFERROR(Tableau57123141618202224323436381234571113141617[[#This Row],[Coût d''achat HT à l''unité]]*Tableau57123141618202224323436381234571113141617[[#This Row],[Unités nécessaires]],"")</f>
        <v>0.06</v>
      </c>
    </row>
    <row r="30" spans="2:8" ht="17">
      <c r="B30" s="8" t="s">
        <v>477</v>
      </c>
      <c r="C30" s="5" t="str">
        <f>_xlfn.XLOOKUP(Tableau57123141618202224323436381234571113141617[[#This Row],[Article]],'Liste des fournisseurs'!$B$12:$B$307,'Liste des fournisseurs'!$C$12:$C$307,"")</f>
        <v>cl</v>
      </c>
      <c r="D30" s="20">
        <v>3</v>
      </c>
      <c r="E30" s="6">
        <f>_xlfn.XLOOKUP(Tableau57123141618202224323436381234571113141617[[#This Row],[Article]],'Liste des fournisseurs'!$B$12:$B$307,'Liste des fournisseurs'!$F$12:$F$307,"")</f>
        <v>0.17142857142857143</v>
      </c>
      <c r="F30" s="7">
        <f>IFERROR(Tableau57123141618202224323436381234571113141617[[#This Row],[Coût d''achat HT à l''unité]]*Tableau57123141618202224323436381234571113141617[[#This Row],[Unités nécessaires]],"")</f>
        <v>0.51428571428571423</v>
      </c>
    </row>
    <row r="31" spans="2:8" ht="17">
      <c r="B31" s="8" t="s">
        <v>270</v>
      </c>
      <c r="C31" s="5" t="str">
        <f>_xlfn.XLOOKUP(Tableau57123141618202224323436381234571113141617[[#This Row],[Article]],'Liste des fournisseurs'!$B$12:$B$307,'Liste des fournisseurs'!$C$12:$C$307,"")</f>
        <v>Unité</v>
      </c>
      <c r="D31" s="20">
        <v>1</v>
      </c>
      <c r="E31" s="6">
        <f>_xlfn.XLOOKUP(Tableau57123141618202224323436381234571113141617[[#This Row],[Article]],'Liste des fournisseurs'!$B$12:$B$307,'Liste des fournisseurs'!$F$12:$F$307,"")</f>
        <v>0.23148147999999999</v>
      </c>
      <c r="F31" s="7">
        <f>IFERROR(Tableau57123141618202224323436381234571113141617[[#This Row],[Coût d''achat HT à l''unité]]*Tableau57123141618202224323436381234571113141617[[#This Row],[Unités nécessaires]],"")</f>
        <v>0.23148147999999999</v>
      </c>
    </row>
    <row r="32" spans="2:8" ht="16">
      <c r="B32" s="8"/>
      <c r="C32" s="5" t="str">
        <f>_xlfn.XLOOKUP(Tableau57123141618202224323436381234571113141617[[#This Row],[Article]],'Liste des fournisseurs'!$B$12:$B$307,'Liste des fournisseurs'!$C$12:$C$307,"")</f>
        <v/>
      </c>
      <c r="D32" s="20"/>
      <c r="E32" s="6" t="str">
        <f>_xlfn.XLOOKUP(Tableau57123141618202224323436381234571113141617[[#This Row],[Article]],'Liste des fournisseurs'!$B$12:$B$307,'Liste des fournisseurs'!$F$12:$F$307,"")</f>
        <v/>
      </c>
      <c r="F32" s="7" t="str">
        <f>IFERROR(Tableau57123141618202224323436381234571113141617[[#This Row],[Coût d''achat HT à l''unité]]*Tableau57123141618202224323436381234571113141617[[#This Row],[Unités nécessaires]],"")</f>
        <v/>
      </c>
    </row>
    <row r="33" spans="2:6" ht="17">
      <c r="B33" s="34" t="s">
        <v>7</v>
      </c>
      <c r="C33" s="35"/>
      <c r="D33" s="35"/>
      <c r="E33" s="35"/>
      <c r="F33" s="42">
        <f>SUM(Tableau57123141618202224323436381234571113141617[Prix de revient HT])</f>
        <v>1.7914814800000001</v>
      </c>
    </row>
    <row r="34" spans="2:6" ht="17">
      <c r="B34" s="37" t="s">
        <v>8</v>
      </c>
      <c r="C34" s="38"/>
      <c r="D34" s="38"/>
      <c r="E34" s="38"/>
      <c r="F34" s="43">
        <f>F33/C14</f>
        <v>1.7914814800000001</v>
      </c>
    </row>
    <row r="35" spans="2:6" ht="17">
      <c r="B35" s="37" t="s">
        <v>9</v>
      </c>
      <c r="C35" s="40">
        <v>0.2</v>
      </c>
      <c r="D35" s="38"/>
      <c r="E35" s="38"/>
      <c r="F35" s="43">
        <f>SUM(F28:F32)</f>
        <v>1.7914814800000001</v>
      </c>
    </row>
    <row r="36" spans="2:6" ht="17">
      <c r="B36" s="37" t="s">
        <v>10</v>
      </c>
      <c r="C36" s="38"/>
      <c r="D36" s="38"/>
      <c r="E36" s="38"/>
      <c r="F36" s="43">
        <f>F34+C35*F34</f>
        <v>2.1497777760000001</v>
      </c>
    </row>
    <row r="37" spans="2:6" ht="20">
      <c r="B37" s="221" t="s">
        <v>13</v>
      </c>
      <c r="C37" s="225"/>
      <c r="D37" s="225"/>
      <c r="E37" s="225"/>
      <c r="F37" s="226">
        <v>6</v>
      </c>
    </row>
    <row r="38" spans="2:6" ht="20">
      <c r="B38" s="227" t="s">
        <v>483</v>
      </c>
      <c r="C38" s="216"/>
      <c r="D38" s="216"/>
      <c r="E38" s="216"/>
      <c r="F38" s="204">
        <f>(F40-F36)/F40</f>
        <v>0.83333333333333326</v>
      </c>
    </row>
    <row r="39" spans="2:6" ht="20">
      <c r="B39" s="228" t="s">
        <v>484</v>
      </c>
      <c r="C39" s="216"/>
      <c r="D39" s="216"/>
      <c r="E39" s="216"/>
      <c r="F39" s="204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12.898666656</v>
      </c>
    </row>
    <row r="41" spans="2:6" ht="20" thickBot="1">
      <c r="B41" s="41" t="s">
        <v>12</v>
      </c>
      <c r="C41" s="18"/>
      <c r="D41" s="18"/>
      <c r="E41" s="18"/>
      <c r="F41" s="45">
        <f>F40-F36</f>
        <v>10.748888879999999</v>
      </c>
    </row>
    <row r="43" spans="2:6" ht="15" thickBot="1"/>
    <row r="44" spans="2:6" ht="26">
      <c r="B44" s="248" t="s">
        <v>301</v>
      </c>
      <c r="C44" s="249"/>
      <c r="D44" s="249"/>
      <c r="E44" s="249"/>
      <c r="F44" s="250"/>
    </row>
    <row r="45" spans="2:6" ht="19">
      <c r="B45" s="146"/>
      <c r="C45" s="102"/>
      <c r="D45" s="102"/>
      <c r="E45" s="102"/>
      <c r="F45" s="147"/>
    </row>
    <row r="46" spans="2:6" ht="20" thickBot="1">
      <c r="B46" s="148"/>
      <c r="C46" s="149"/>
      <c r="D46" s="149"/>
      <c r="E46" s="149"/>
      <c r="F46" s="150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8:F8"/>
    <mergeCell ref="B10:F10"/>
    <mergeCell ref="B12:F12"/>
    <mergeCell ref="B44:F44"/>
  </mergeCells>
  <dataValidations count="1">
    <dataValidation type="list" allowBlank="1" showInputMessage="1" showErrorMessage="1" sqref="B10:F10" xr:uid="{88B9EEC2-E2C8-0C49-9097-7C95FC59F3C1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055691-B3EB-504F-BDE6-34CB98172F87}">
          <x14:formula1>
            <xm:f>'Liste des fournisseurs'!$B$12:$B$307</xm:f>
          </x14:formula1>
          <xm:sqref>B28:B32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5D27-4B0B-3749-AE4E-A678D45EBA2F}">
  <dimension ref="B7:H58"/>
  <sheetViews>
    <sheetView topLeftCell="A15" zoomScale="109" workbookViewId="0">
      <selection activeCell="F37" sqref="F37"/>
    </sheetView>
  </sheetViews>
  <sheetFormatPr baseColWidth="10" defaultRowHeight="14"/>
  <cols>
    <col min="1" max="1" width="10.83203125" style="11"/>
    <col min="2" max="2" width="45.1640625" style="9" bestFit="1" customWidth="1"/>
    <col min="3" max="3" width="13" style="10" bestFit="1" customWidth="1"/>
    <col min="4" max="4" width="28.1640625" style="10" bestFit="1" customWidth="1"/>
    <col min="5" max="5" width="36.6640625" style="10" bestFit="1" customWidth="1"/>
    <col min="6" max="6" width="28" style="10" bestFit="1" customWidth="1"/>
    <col min="7" max="16384" width="10.83203125" style="11"/>
  </cols>
  <sheetData>
    <row r="7" spans="2:6" ht="15" thickBot="1"/>
    <row r="8" spans="2:6" ht="27" thickBot="1">
      <c r="B8" s="233" t="s">
        <v>0</v>
      </c>
      <c r="C8" s="234"/>
      <c r="D8" s="234"/>
      <c r="E8" s="234"/>
      <c r="F8" s="235"/>
    </row>
    <row r="9" spans="2:6" ht="15" thickBot="1">
      <c r="B9" s="12"/>
    </row>
    <row r="10" spans="2:6" ht="27" thickBot="1">
      <c r="B10" s="233" t="s">
        <v>274</v>
      </c>
      <c r="C10" s="234"/>
      <c r="D10" s="234"/>
      <c r="E10" s="234"/>
      <c r="F10" s="235"/>
    </row>
    <row r="11" spans="2:6" ht="15" thickBot="1">
      <c r="B11" s="13"/>
    </row>
    <row r="12" spans="2:6" ht="27" thickBot="1">
      <c r="B12" s="230" t="s">
        <v>481</v>
      </c>
      <c r="C12" s="231"/>
      <c r="D12" s="231"/>
      <c r="E12" s="231"/>
      <c r="F12" s="232"/>
    </row>
    <row r="13" spans="2:6">
      <c r="B13" s="12"/>
    </row>
    <row r="14" spans="2:6" ht="22">
      <c r="B14" s="60" t="s">
        <v>292</v>
      </c>
      <c r="C14" s="22">
        <v>1</v>
      </c>
    </row>
    <row r="15" spans="2:6" ht="21">
      <c r="B15" s="23"/>
      <c r="C15" s="24"/>
    </row>
    <row r="16" spans="2:6" ht="22">
      <c r="B16" s="21" t="s">
        <v>1</v>
      </c>
      <c r="C16" s="52">
        <f>(C17*F40)+F40</f>
        <v>15.001852812301715</v>
      </c>
    </row>
    <row r="17" spans="2:8" ht="22">
      <c r="B17" s="21" t="s">
        <v>2</v>
      </c>
      <c r="C17" s="26">
        <v>0.16</v>
      </c>
    </row>
    <row r="18" spans="2:8" ht="21">
      <c r="B18" s="27"/>
      <c r="C18" s="24"/>
      <c r="E18" s="53"/>
    </row>
    <row r="19" spans="2:8" ht="20" thickBot="1">
      <c r="B19" s="62" t="s">
        <v>294</v>
      </c>
      <c r="C19" s="11"/>
    </row>
    <row r="20" spans="2:8" ht="21" thickTop="1" thickBot="1">
      <c r="B20" s="63" t="s">
        <v>465</v>
      </c>
      <c r="C20" s="105" t="s">
        <v>458</v>
      </c>
    </row>
    <row r="21" spans="2:8" ht="20" thickTop="1">
      <c r="B21" s="63" t="s">
        <v>464</v>
      </c>
      <c r="C21" s="11"/>
    </row>
    <row r="22" spans="2:8" ht="19">
      <c r="B22" s="63" t="s">
        <v>463</v>
      </c>
      <c r="C22" s="11"/>
    </row>
    <row r="23" spans="2:8" ht="19">
      <c r="B23" s="63" t="s">
        <v>462</v>
      </c>
      <c r="C23" s="11"/>
    </row>
    <row r="24" spans="2:8">
      <c r="B24" s="11"/>
      <c r="C24" s="11"/>
    </row>
    <row r="25" spans="2:8" ht="19">
      <c r="B25" s="62" t="s">
        <v>298</v>
      </c>
      <c r="C25" s="62"/>
    </row>
    <row r="26" spans="2:8" ht="15" thickBot="1">
      <c r="B26" s="12"/>
    </row>
    <row r="27" spans="2:8" ht="23" thickBot="1">
      <c r="B27" s="28" t="s">
        <v>3</v>
      </c>
      <c r="C27" s="29" t="s">
        <v>94</v>
      </c>
      <c r="D27" s="29" t="s">
        <v>5</v>
      </c>
      <c r="E27" s="29" t="s">
        <v>4</v>
      </c>
      <c r="F27" s="29" t="s">
        <v>6</v>
      </c>
    </row>
    <row r="28" spans="2:8" ht="17">
      <c r="B28" s="8" t="s">
        <v>480</v>
      </c>
      <c r="C28" s="5" t="str">
        <f>_xlfn.XLOOKUP(Tableau5712314161820222432343638123457111314161719[[#This Row],[Article]],'Liste des fournisseurs'!$B$12:$B$307,'Liste des fournisseurs'!$C$12:$C$307,"")</f>
        <v>cl</v>
      </c>
      <c r="D28" s="20">
        <v>6</v>
      </c>
      <c r="E28" s="6">
        <f>_xlfn.XLOOKUP(Tableau5712314161820222432343638123457111314161719[[#This Row],[Article]],'Liste des fournisseurs'!$B$12:$B$307,'Liste des fournisseurs'!$F$12:$F$307,"")</f>
        <v>0.16428571428571428</v>
      </c>
      <c r="F28" s="7">
        <f>IFERROR(Tableau5712314161820222432343638123457111314161719[[#This Row],[Coût d''achat HT à l''unité]]*Tableau5712314161820222432343638123457111314161719[[#This Row],[Unités nécessaires]],"")</f>
        <v>0.98571428571428577</v>
      </c>
      <c r="H28" s="202"/>
    </row>
    <row r="29" spans="2:8" ht="17">
      <c r="B29" s="8" t="s">
        <v>276</v>
      </c>
      <c r="C29" s="5" t="str">
        <f>_xlfn.XLOOKUP(Tableau5712314161820222432343638123457111314161719[[#This Row],[Article]],'Liste des fournisseurs'!$B$12:$B$307,'Liste des fournisseurs'!$C$12:$C$307,"")</f>
        <v>cl</v>
      </c>
      <c r="D29" s="20">
        <v>3</v>
      </c>
      <c r="E29" s="6">
        <f>_xlfn.XLOOKUP(Tableau5712314161820222432343638123457111314161719[[#This Row],[Article]],'Liste des fournisseurs'!$B$12:$B$307,'Liste des fournisseurs'!$F$12:$F$307,"")</f>
        <v>0.02</v>
      </c>
      <c r="F29" s="7">
        <f>IFERROR(Tableau5712314161820222432343638123457111314161719[[#This Row],[Coût d''achat HT à l''unité]]*Tableau5712314161820222432343638123457111314161719[[#This Row],[Unités nécessaires]],"")</f>
        <v>0.06</v>
      </c>
    </row>
    <row r="30" spans="2:8" ht="17">
      <c r="B30" s="8" t="s">
        <v>424</v>
      </c>
      <c r="C30" s="5" t="str">
        <f>_xlfn.XLOOKUP(Tableau5712314161820222432343638123457111314161719[[#This Row],[Article]],'Liste des fournisseurs'!$B$12:$B$307,'Liste des fournisseurs'!$C$12:$C$307,"")</f>
        <v>cl</v>
      </c>
      <c r="D30" s="20">
        <v>3</v>
      </c>
      <c r="E30" s="6">
        <f>_xlfn.XLOOKUP(Tableau5712314161820222432343638123457111314161719[[#This Row],[Article]],'Liste des fournisseurs'!$B$12:$B$307,'Liste des fournisseurs'!$F$12:$F$307,"")</f>
        <v>0.14000000000000001</v>
      </c>
      <c r="F30" s="7">
        <f>IFERROR(Tableau5712314161820222432343638123457111314161719[[#This Row],[Coût d''achat HT à l''unité]]*Tableau5712314161820222432343638123457111314161719[[#This Row],[Unités nécessaires]],"")</f>
        <v>0.42000000000000004</v>
      </c>
    </row>
    <row r="31" spans="2:8" ht="17">
      <c r="B31" s="8" t="s">
        <v>270</v>
      </c>
      <c r="C31" s="5" t="str">
        <f>_xlfn.XLOOKUP(Tableau5712314161820222432343638123457111314161719[[#This Row],[Article]],'Liste des fournisseurs'!$B$12:$B$307,'Liste des fournisseurs'!$C$12:$C$307,"")</f>
        <v>Unité</v>
      </c>
      <c r="D31" s="20">
        <v>1</v>
      </c>
      <c r="E31" s="6">
        <f>_xlfn.XLOOKUP(Tableau5712314161820222432343638123457111314161719[[#This Row],[Article]],'Liste des fournisseurs'!$B$12:$B$307,'Liste des fournisseurs'!$F$12:$F$307,"")</f>
        <v>0.23148147999999999</v>
      </c>
      <c r="F31" s="7">
        <f>IFERROR(Tableau5712314161820222432343638123457111314161719[[#This Row],[Coût d''achat HT à l''unité]]*Tableau5712314161820222432343638123457111314161719[[#This Row],[Unités nécessaires]],"")</f>
        <v>0.23148147999999999</v>
      </c>
    </row>
    <row r="32" spans="2:8" ht="16">
      <c r="B32" s="8"/>
      <c r="C32" s="5" t="str">
        <f>_xlfn.XLOOKUP(Tableau5712314161820222432343638123457111314161719[[#This Row],[Article]],'Liste des fournisseurs'!$B$12:$B$307,'Liste des fournisseurs'!$C$12:$C$307,"")</f>
        <v/>
      </c>
      <c r="D32" s="20"/>
      <c r="E32" s="6" t="str">
        <f>_xlfn.XLOOKUP(Tableau5712314161820222432343638123457111314161719[[#This Row],[Article]],'Liste des fournisseurs'!$B$12:$B$307,'Liste des fournisseurs'!$F$12:$F$307,"")</f>
        <v/>
      </c>
      <c r="F32" s="7" t="str">
        <f>IFERROR(Tableau5712314161820222432343638123457111314161719[[#This Row],[Coût d''achat HT à l''unité]]*Tableau5712314161820222432343638123457111314161719[[#This Row],[Unités nécessaires]],"")</f>
        <v/>
      </c>
    </row>
    <row r="33" spans="2:6" ht="17">
      <c r="B33" s="34" t="s">
        <v>7</v>
      </c>
      <c r="C33" s="35"/>
      <c r="D33" s="35"/>
      <c r="E33" s="35"/>
      <c r="F33" s="42">
        <f>SUM(Tableau5712314161820222432343638123457111314161719[Prix de revient HT])</f>
        <v>1.6971957657142858</v>
      </c>
    </row>
    <row r="34" spans="2:6" ht="34">
      <c r="B34" s="37" t="s">
        <v>8</v>
      </c>
      <c r="C34" s="38"/>
      <c r="D34" s="38"/>
      <c r="E34" s="38"/>
      <c r="F34" s="43">
        <f>F33/C14</f>
        <v>1.6971957657142858</v>
      </c>
    </row>
    <row r="35" spans="2:6" ht="17">
      <c r="B35" s="37" t="s">
        <v>9</v>
      </c>
      <c r="C35" s="40">
        <v>0.2</v>
      </c>
      <c r="D35" s="38"/>
      <c r="E35" s="38"/>
      <c r="F35" s="43">
        <f>SUM(F28:F32)</f>
        <v>1.6971957657142858</v>
      </c>
    </row>
    <row r="36" spans="2:6" ht="17">
      <c r="B36" s="37" t="s">
        <v>10</v>
      </c>
      <c r="C36" s="38"/>
      <c r="D36" s="38"/>
      <c r="E36" s="38"/>
      <c r="F36" s="43">
        <f>F34+C35*F34</f>
        <v>2.0366349188571431</v>
      </c>
    </row>
    <row r="37" spans="2:6" ht="20">
      <c r="B37" s="221" t="s">
        <v>13</v>
      </c>
      <c r="C37" s="225"/>
      <c r="D37" s="225"/>
      <c r="E37" s="225"/>
      <c r="F37" s="226">
        <v>6.35</v>
      </c>
    </row>
    <row r="38" spans="2:6" ht="20">
      <c r="B38" s="227" t="s">
        <v>483</v>
      </c>
      <c r="C38" s="216"/>
      <c r="D38" s="216"/>
      <c r="E38" s="216"/>
      <c r="F38" s="204">
        <f>F41/F40</f>
        <v>0.84251968503937014</v>
      </c>
    </row>
    <row r="39" spans="2:6" ht="20">
      <c r="B39" s="228" t="s">
        <v>484</v>
      </c>
      <c r="C39" s="216"/>
      <c r="D39" s="216"/>
      <c r="E39" s="216"/>
      <c r="F39" s="204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12.932631734742857</v>
      </c>
    </row>
    <row r="41" spans="2:6" ht="20" thickBot="1">
      <c r="B41" s="41" t="s">
        <v>12</v>
      </c>
      <c r="C41" s="18"/>
      <c r="D41" s="18"/>
      <c r="E41" s="18"/>
      <c r="F41" s="45">
        <f>F40-F36</f>
        <v>10.895996815885715</v>
      </c>
    </row>
    <row r="43" spans="2:6" ht="15" thickBot="1"/>
    <row r="44" spans="2:6" ht="26">
      <c r="B44" s="248" t="s">
        <v>301</v>
      </c>
      <c r="C44" s="249"/>
      <c r="D44" s="249"/>
      <c r="E44" s="249"/>
      <c r="F44" s="250"/>
    </row>
    <row r="45" spans="2:6" ht="19">
      <c r="B45" s="146"/>
      <c r="C45" s="102"/>
      <c r="D45" s="102"/>
      <c r="E45" s="102"/>
      <c r="F45" s="147"/>
    </row>
    <row r="46" spans="2:6" ht="20" thickBot="1">
      <c r="B46" s="148"/>
      <c r="C46" s="149"/>
      <c r="D46" s="149"/>
      <c r="E46" s="149"/>
      <c r="F46" s="150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8:F8"/>
    <mergeCell ref="B10:F10"/>
    <mergeCell ref="B12:F12"/>
    <mergeCell ref="B44:F44"/>
  </mergeCells>
  <dataValidations count="1">
    <dataValidation type="list" allowBlank="1" showInputMessage="1" showErrorMessage="1" sqref="B10:F10" xr:uid="{838E725F-1E8D-4245-86CD-740B7E92F5EC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7898DF-8A68-BE4C-8175-F4273F21548D}">
          <x14:formula1>
            <xm:f>'Liste des fournisseurs'!$B$12:$B$307</xm:f>
          </x14:formula1>
          <xm:sqref>B28:B32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E628-1B2E-7C46-94A7-F734AD8E59F8}">
  <dimension ref="B7:H58"/>
  <sheetViews>
    <sheetView topLeftCell="A13" workbookViewId="0">
      <selection activeCell="G23" sqref="G23"/>
    </sheetView>
  </sheetViews>
  <sheetFormatPr baseColWidth="10" defaultRowHeight="14"/>
  <cols>
    <col min="1" max="1" width="10.83203125" style="11"/>
    <col min="2" max="2" width="45.1640625" style="9" bestFit="1" customWidth="1"/>
    <col min="3" max="3" width="13" style="10" bestFit="1" customWidth="1"/>
    <col min="4" max="4" width="28.1640625" style="10" bestFit="1" customWidth="1"/>
    <col min="5" max="5" width="36.6640625" style="10" bestFit="1" customWidth="1"/>
    <col min="6" max="6" width="28" style="10" bestFit="1" customWidth="1"/>
    <col min="7" max="16384" width="10.83203125" style="11"/>
  </cols>
  <sheetData>
    <row r="7" spans="2:6" ht="15" thickBot="1"/>
    <row r="8" spans="2:6" ht="27" thickBot="1">
      <c r="B8" s="233" t="s">
        <v>0</v>
      </c>
      <c r="C8" s="234"/>
      <c r="D8" s="234"/>
      <c r="E8" s="234"/>
      <c r="F8" s="235"/>
    </row>
    <row r="9" spans="2:6" ht="15" thickBot="1">
      <c r="B9" s="12"/>
    </row>
    <row r="10" spans="2:6" ht="27" thickBot="1">
      <c r="B10" s="233" t="s">
        <v>274</v>
      </c>
      <c r="C10" s="234"/>
      <c r="D10" s="234"/>
      <c r="E10" s="234"/>
      <c r="F10" s="235"/>
    </row>
    <row r="11" spans="2:6" ht="15" thickBot="1">
      <c r="B11" s="13"/>
    </row>
    <row r="12" spans="2:6" ht="27" thickBot="1">
      <c r="B12" s="230" t="s">
        <v>490</v>
      </c>
      <c r="C12" s="231"/>
      <c r="D12" s="231"/>
      <c r="E12" s="231"/>
      <c r="F12" s="232"/>
    </row>
    <row r="13" spans="2:6">
      <c r="B13" s="12"/>
    </row>
    <row r="14" spans="2:6" ht="22">
      <c r="B14" s="60" t="s">
        <v>292</v>
      </c>
      <c r="C14" s="22">
        <v>1</v>
      </c>
    </row>
    <row r="15" spans="2:6" ht="21">
      <c r="B15" s="23"/>
      <c r="C15" s="24"/>
    </row>
    <row r="16" spans="2:6" ht="22">
      <c r="B16" s="21" t="s">
        <v>1</v>
      </c>
      <c r="C16" s="52">
        <f>(C17*F40)+F40</f>
        <v>15.08007424</v>
      </c>
    </row>
    <row r="17" spans="2:8" ht="22">
      <c r="B17" s="21" t="s">
        <v>2</v>
      </c>
      <c r="C17" s="26">
        <v>0.16</v>
      </c>
    </row>
    <row r="18" spans="2:8" ht="21">
      <c r="B18" s="27"/>
      <c r="C18" s="24"/>
      <c r="E18" s="53"/>
    </row>
    <row r="19" spans="2:8" ht="20" thickBot="1">
      <c r="B19" s="62" t="s">
        <v>294</v>
      </c>
      <c r="C19" s="11"/>
    </row>
    <row r="20" spans="2:8" ht="21" thickTop="1" thickBot="1">
      <c r="B20" s="63" t="s">
        <v>465</v>
      </c>
      <c r="C20" s="105" t="s">
        <v>458</v>
      </c>
    </row>
    <row r="21" spans="2:8" ht="20" thickTop="1">
      <c r="B21" s="63" t="s">
        <v>464</v>
      </c>
      <c r="C21" s="11"/>
    </row>
    <row r="22" spans="2:8" ht="19">
      <c r="B22" s="63" t="s">
        <v>463</v>
      </c>
      <c r="C22" s="11"/>
    </row>
    <row r="23" spans="2:8" ht="19">
      <c r="B23" s="63" t="s">
        <v>462</v>
      </c>
      <c r="C23" s="11"/>
    </row>
    <row r="24" spans="2:8">
      <c r="B24" s="11"/>
      <c r="C24" s="11"/>
    </row>
    <row r="25" spans="2:8" ht="19">
      <c r="B25" s="62" t="s">
        <v>298</v>
      </c>
      <c r="C25" s="62"/>
    </row>
    <row r="26" spans="2:8" ht="15" thickBot="1">
      <c r="B26" s="12"/>
    </row>
    <row r="27" spans="2:8" ht="23" thickBot="1">
      <c r="B27" s="28" t="s">
        <v>3</v>
      </c>
      <c r="C27" s="29" t="s">
        <v>94</v>
      </c>
      <c r="D27" s="29" t="s">
        <v>5</v>
      </c>
      <c r="E27" s="29" t="s">
        <v>4</v>
      </c>
      <c r="F27" s="29" t="s">
        <v>6</v>
      </c>
    </row>
    <row r="28" spans="2:8" ht="17">
      <c r="B28" s="8" t="s">
        <v>116</v>
      </c>
      <c r="C28" s="5" t="str">
        <f>_xlfn.XLOOKUP(Tableau571231416182022243234363812345711131416171925[[#This Row],[Article]],'Liste des fournisseurs'!$B$12:$B$307,'Liste des fournisseurs'!$C$12:$C$307,"")</f>
        <v>cl</v>
      </c>
      <c r="D28" s="20">
        <v>4</v>
      </c>
      <c r="E28" s="6">
        <f>_xlfn.XLOOKUP(Tableau571231416182022243234363812345711131416171925[[#This Row],[Article]],'Liste des fournisseurs'!$B$12:$B$307,'Liste des fournisseurs'!$F$12:$F$307,"")</f>
        <v>0.26</v>
      </c>
      <c r="F28" s="7">
        <f>IFERROR(Tableau571231416182022243234363812345711131416171925[[#This Row],[Coût d''achat HT à l''unité]]*Tableau571231416182022243234363812345711131416171925[[#This Row],[Unités nécessaires]],"")</f>
        <v>1.04</v>
      </c>
      <c r="H28" s="202"/>
    </row>
    <row r="29" spans="2:8" ht="34">
      <c r="B29" s="8" t="s">
        <v>164</v>
      </c>
      <c r="C29" s="5" t="str">
        <f>_xlfn.XLOOKUP(Tableau571231416182022243234363812345711131416171925[[#This Row],[Article]],'Liste des fournisseurs'!$B$12:$B$307,'Liste des fournisseurs'!$C$12:$C$307,"")</f>
        <v>cl</v>
      </c>
      <c r="D29" s="20">
        <v>6</v>
      </c>
      <c r="E29" s="6">
        <f>_xlfn.XLOOKUP(Tableau571231416182022243234363812345711131416171925[[#This Row],[Article]],'Liste des fournisseurs'!$B$12:$B$307,'Liste des fournisseurs'!$F$12:$F$307,"")</f>
        <v>0.19466666666666665</v>
      </c>
      <c r="F29" s="7">
        <f>IFERROR(Tableau571231416182022243234363812345711131416171925[[#This Row],[Coût d''achat HT à l''unité]]*Tableau571231416182022243234363812345711131416171925[[#This Row],[Unités nécessaires]],"")</f>
        <v>1.1679999999999999</v>
      </c>
    </row>
    <row r="30" spans="2:8" ht="17">
      <c r="B30" s="8" t="s">
        <v>218</v>
      </c>
      <c r="C30" s="5" t="str">
        <f>_xlfn.XLOOKUP(Tableau571231416182022243234363812345711131416171925[[#This Row],[Article]],'Liste des fournisseurs'!$B$12:$B$307,'Liste des fournisseurs'!$C$12:$C$307,"")</f>
        <v>cl</v>
      </c>
      <c r="D30" s="20">
        <v>2</v>
      </c>
      <c r="E30" s="6">
        <f>_xlfn.XLOOKUP(Tableau571231416182022243234363812345711131416171925[[#This Row],[Article]],'Liste des fournisseurs'!$B$12:$B$307,'Liste des fournisseurs'!$F$12:$F$307,"")</f>
        <v>1.5151515151515152E-2</v>
      </c>
      <c r="F30" s="7">
        <f>IFERROR(Tableau571231416182022243234363812345711131416171925[[#This Row],[Coût d''achat HT à l''unité]]*Tableau571231416182022243234363812345711131416171925[[#This Row],[Unités nécessaires]],"")</f>
        <v>3.0303030303030304E-2</v>
      </c>
    </row>
    <row r="31" spans="2:8" ht="16">
      <c r="B31" s="8"/>
      <c r="C31" s="5" t="str">
        <f>_xlfn.XLOOKUP(Tableau571231416182022243234363812345711131416171925[[#This Row],[Article]],'Liste des fournisseurs'!$B$12:$B$307,'Liste des fournisseurs'!$C$12:$C$307,"")</f>
        <v/>
      </c>
      <c r="D31" s="20"/>
      <c r="E31" s="6" t="str">
        <f>_xlfn.XLOOKUP(Tableau571231416182022243234363812345711131416171925[[#This Row],[Article]],'Liste des fournisseurs'!$B$12:$B$307,'Liste des fournisseurs'!$F$12:$F$307,"")</f>
        <v/>
      </c>
      <c r="F31" s="7" t="str">
        <f>IFERROR(Tableau571231416182022243234363812345711131416171925[[#This Row],[Coût d''achat HT à l''unité]]*Tableau571231416182022243234363812345711131416171925[[#This Row],[Unités nécessaires]],"")</f>
        <v/>
      </c>
    </row>
    <row r="32" spans="2:8" ht="16">
      <c r="B32" s="8"/>
      <c r="C32" s="5" t="str">
        <f>_xlfn.XLOOKUP(Tableau571231416182022243234363812345711131416171925[[#This Row],[Article]],'Liste des fournisseurs'!$B$12:$B$307,'Liste des fournisseurs'!$C$12:$C$307,"")</f>
        <v/>
      </c>
      <c r="D32" s="20"/>
      <c r="E32" s="6" t="str">
        <f>_xlfn.XLOOKUP(Tableau571231416182022243234363812345711131416171925[[#This Row],[Article]],'Liste des fournisseurs'!$B$12:$B$307,'Liste des fournisseurs'!$F$12:$F$307,"")</f>
        <v/>
      </c>
      <c r="F32" s="7" t="str">
        <f>IFERROR(Tableau571231416182022243234363812345711131416171925[[#This Row],[Coût d''achat HT à l''unité]]*Tableau571231416182022243234363812345711131416171925[[#This Row],[Unités nécessaires]],"")</f>
        <v/>
      </c>
    </row>
    <row r="33" spans="2:6" ht="17">
      <c r="B33" s="34" t="s">
        <v>7</v>
      </c>
      <c r="C33" s="35"/>
      <c r="D33" s="35"/>
      <c r="E33" s="35"/>
      <c r="F33" s="42">
        <f>SUM(Tableau571231416182022243234363812345711131416171925[Prix de revient HT])</f>
        <v>2.2383030303030305</v>
      </c>
    </row>
    <row r="34" spans="2:6" ht="34">
      <c r="B34" s="37" t="s">
        <v>8</v>
      </c>
      <c r="C34" s="38"/>
      <c r="D34" s="38"/>
      <c r="E34" s="38"/>
      <c r="F34" s="43">
        <f>F33/C14</f>
        <v>2.2383030303030305</v>
      </c>
    </row>
    <row r="35" spans="2:6" ht="17">
      <c r="B35" s="37" t="s">
        <v>9</v>
      </c>
      <c r="C35" s="40">
        <v>0.2</v>
      </c>
      <c r="D35" s="38"/>
      <c r="E35" s="38"/>
      <c r="F35" s="43">
        <f>SUM(F28:F32)</f>
        <v>2.2383030303030305</v>
      </c>
    </row>
    <row r="36" spans="2:6" ht="17">
      <c r="B36" s="37" t="s">
        <v>10</v>
      </c>
      <c r="C36" s="38"/>
      <c r="D36" s="38"/>
      <c r="E36" s="38"/>
      <c r="F36" s="43">
        <f>F34+C35*F34</f>
        <v>2.6859636363636366</v>
      </c>
    </row>
    <row r="37" spans="2:6" ht="20">
      <c r="B37" s="221" t="s">
        <v>13</v>
      </c>
      <c r="C37" s="225"/>
      <c r="D37" s="225"/>
      <c r="E37" s="225"/>
      <c r="F37" s="226">
        <v>4.84</v>
      </c>
    </row>
    <row r="38" spans="2:6" ht="20">
      <c r="B38" s="227" t="s">
        <v>483</v>
      </c>
      <c r="C38" s="216"/>
      <c r="D38" s="216"/>
      <c r="E38" s="216"/>
      <c r="F38" s="204">
        <f>F41/F40</f>
        <v>0.79338842975206614</v>
      </c>
    </row>
    <row r="39" spans="2:6" ht="20">
      <c r="B39" s="228" t="s">
        <v>484</v>
      </c>
      <c r="C39" s="216"/>
      <c r="D39" s="216"/>
      <c r="E39" s="216"/>
      <c r="F39" s="204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13.000064</v>
      </c>
    </row>
    <row r="41" spans="2:6" ht="20" thickBot="1">
      <c r="B41" s="41" t="s">
        <v>12</v>
      </c>
      <c r="C41" s="18"/>
      <c r="D41" s="18"/>
      <c r="E41" s="18"/>
      <c r="F41" s="45">
        <f>F40-F36</f>
        <v>10.314100363636364</v>
      </c>
    </row>
    <row r="43" spans="2:6" ht="15" thickBot="1"/>
    <row r="44" spans="2:6" ht="26">
      <c r="B44" s="248" t="s">
        <v>301</v>
      </c>
      <c r="C44" s="249"/>
      <c r="D44" s="249"/>
      <c r="E44" s="249"/>
      <c r="F44" s="250"/>
    </row>
    <row r="45" spans="2:6" ht="19">
      <c r="B45" s="146"/>
      <c r="C45" s="102"/>
      <c r="D45" s="102"/>
      <c r="E45" s="102"/>
      <c r="F45" s="147"/>
    </row>
    <row r="46" spans="2:6" ht="20" thickBot="1">
      <c r="B46" s="148"/>
      <c r="C46" s="149"/>
      <c r="D46" s="149"/>
      <c r="E46" s="149"/>
      <c r="F46" s="150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8:F8"/>
    <mergeCell ref="B10:F10"/>
    <mergeCell ref="B12:F12"/>
    <mergeCell ref="B44:F44"/>
  </mergeCells>
  <dataValidations count="1">
    <dataValidation type="list" allowBlank="1" showInputMessage="1" showErrorMessage="1" sqref="B10:F10" xr:uid="{59677414-DEB1-C54B-A999-66889CCCF31E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4FDDFD-6582-8441-8BBB-AA707D56F9E1}">
          <x14:formula1>
            <xm:f>'Liste des fournisseurs'!$B$12:$B$307</xm:f>
          </x14:formula1>
          <xm:sqref>B28:B32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35F0-DD8B-6A44-9754-C91DF5476CEC}">
  <dimension ref="B7:H58"/>
  <sheetViews>
    <sheetView topLeftCell="A9" workbookViewId="0">
      <selection activeCell="E19" sqref="E19"/>
    </sheetView>
  </sheetViews>
  <sheetFormatPr baseColWidth="10" defaultRowHeight="14"/>
  <cols>
    <col min="1" max="1" width="10.83203125" style="11"/>
    <col min="2" max="2" width="45.1640625" style="9" bestFit="1" customWidth="1"/>
    <col min="3" max="3" width="13" style="10" bestFit="1" customWidth="1"/>
    <col min="4" max="4" width="28.1640625" style="10" bestFit="1" customWidth="1"/>
    <col min="5" max="5" width="36.6640625" style="10" bestFit="1" customWidth="1"/>
    <col min="6" max="6" width="28" style="10" bestFit="1" customWidth="1"/>
    <col min="7" max="16384" width="10.83203125" style="11"/>
  </cols>
  <sheetData>
    <row r="7" spans="2:6" ht="15" thickBot="1"/>
    <row r="8" spans="2:6" ht="27" thickBot="1">
      <c r="B8" s="233" t="s">
        <v>0</v>
      </c>
      <c r="C8" s="234"/>
      <c r="D8" s="234"/>
      <c r="E8" s="234"/>
      <c r="F8" s="235"/>
    </row>
    <row r="9" spans="2:6" ht="15" thickBot="1">
      <c r="B9" s="12"/>
    </row>
    <row r="10" spans="2:6" ht="27" thickBot="1">
      <c r="B10" s="233" t="s">
        <v>274</v>
      </c>
      <c r="C10" s="234"/>
      <c r="D10" s="234"/>
      <c r="E10" s="234"/>
      <c r="F10" s="235"/>
    </row>
    <row r="11" spans="2:6" ht="15" thickBot="1">
      <c r="B11" s="13"/>
    </row>
    <row r="12" spans="2:6" ht="27" thickBot="1">
      <c r="B12" s="230" t="s">
        <v>491</v>
      </c>
      <c r="C12" s="231"/>
      <c r="D12" s="231"/>
      <c r="E12" s="231"/>
      <c r="F12" s="232"/>
    </row>
    <row r="13" spans="2:6">
      <c r="B13" s="12"/>
    </row>
    <row r="14" spans="2:6" ht="22">
      <c r="B14" s="60" t="s">
        <v>292</v>
      </c>
      <c r="C14" s="22">
        <v>1</v>
      </c>
    </row>
    <row r="15" spans="2:6" ht="21">
      <c r="B15" s="23"/>
      <c r="C15" s="24"/>
    </row>
    <row r="16" spans="2:6" ht="22">
      <c r="B16" s="21" t="s">
        <v>1</v>
      </c>
      <c r="C16" s="52">
        <f>(C17*F40)+F40</f>
        <v>15.013714285714288</v>
      </c>
    </row>
    <row r="17" spans="2:8" ht="22">
      <c r="B17" s="21" t="s">
        <v>2</v>
      </c>
      <c r="C17" s="26">
        <v>0.16</v>
      </c>
    </row>
    <row r="18" spans="2:8" ht="21">
      <c r="B18" s="27"/>
      <c r="C18" s="24"/>
      <c r="E18" s="53"/>
    </row>
    <row r="19" spans="2:8" ht="20" thickBot="1">
      <c r="B19" s="62" t="s">
        <v>294</v>
      </c>
      <c r="C19" s="11"/>
    </row>
    <row r="20" spans="2:8" ht="21" thickTop="1" thickBot="1">
      <c r="B20" s="63" t="s">
        <v>465</v>
      </c>
      <c r="C20" s="105" t="s">
        <v>458</v>
      </c>
    </row>
    <row r="21" spans="2:8" ht="20" thickTop="1">
      <c r="B21" s="63" t="s">
        <v>464</v>
      </c>
      <c r="C21" s="11"/>
    </row>
    <row r="22" spans="2:8" ht="19">
      <c r="B22" s="63" t="s">
        <v>463</v>
      </c>
      <c r="C22" s="11"/>
    </row>
    <row r="23" spans="2:8" ht="19">
      <c r="B23" s="63" t="s">
        <v>462</v>
      </c>
      <c r="C23" s="11"/>
    </row>
    <row r="24" spans="2:8">
      <c r="B24" s="11"/>
      <c r="C24" s="11"/>
    </row>
    <row r="25" spans="2:8" ht="19">
      <c r="B25" s="62" t="s">
        <v>298</v>
      </c>
      <c r="C25" s="62"/>
    </row>
    <row r="26" spans="2:8" ht="15" thickBot="1">
      <c r="B26" s="12"/>
    </row>
    <row r="27" spans="2:8" ht="23" thickBot="1">
      <c r="B27" s="28" t="s">
        <v>3</v>
      </c>
      <c r="C27" s="29" t="s">
        <v>94</v>
      </c>
      <c r="D27" s="29" t="s">
        <v>5</v>
      </c>
      <c r="E27" s="29" t="s">
        <v>4</v>
      </c>
      <c r="F27" s="29" t="s">
        <v>6</v>
      </c>
    </row>
    <row r="28" spans="2:8" ht="17">
      <c r="B28" s="8" t="s">
        <v>119</v>
      </c>
      <c r="C28" s="5" t="str">
        <f>_xlfn.XLOOKUP(Tableau57123141618202224323436381234571113141617192527[[#This Row],[Article]],'Liste des fournisseurs'!$B$12:$B$307,'Liste des fournisseurs'!$C$12:$C$307,"")</f>
        <v>cl</v>
      </c>
      <c r="D28" s="20">
        <v>10</v>
      </c>
      <c r="E28" s="6">
        <f>_xlfn.XLOOKUP(Tableau57123141618202224323436381234571113141617192527[[#This Row],[Article]],'Liste des fournisseurs'!$B$12:$B$307,'Liste des fournisseurs'!$F$12:$F$307,"")</f>
        <v>0.13</v>
      </c>
      <c r="F28" s="7">
        <f>IFERROR(Tableau57123141618202224323436381234571113141617192527[[#This Row],[Coût d''achat HT à l''unité]]*Tableau57123141618202224323436381234571113141617192527[[#This Row],[Unités nécessaires]],"")</f>
        <v>1.3</v>
      </c>
      <c r="H28" s="202"/>
    </row>
    <row r="29" spans="2:8" ht="17">
      <c r="B29" s="8" t="s">
        <v>486</v>
      </c>
      <c r="C29" s="5" t="str">
        <f>_xlfn.XLOOKUP(Tableau57123141618202224323436381234571113141617192527[[#This Row],[Article]],'Liste des fournisseurs'!$B$12:$B$307,'Liste des fournisseurs'!$C$12:$C$307,"")</f>
        <v>cl</v>
      </c>
      <c r="D29" s="20">
        <v>5</v>
      </c>
      <c r="E29" s="6">
        <f>_xlfn.XLOOKUP(Tableau57123141618202224323436381234571113141617192527[[#This Row],[Article]],'Liste des fournisseurs'!$B$12:$B$307,'Liste des fournisseurs'!$F$12:$F$307,"")</f>
        <v>0.17142857142857143</v>
      </c>
      <c r="F29" s="7">
        <f>IFERROR(Tableau57123141618202224323436381234571113141617192527[[#This Row],[Coût d''achat HT à l''unité]]*Tableau57123141618202224323436381234571113141617192527[[#This Row],[Unités nécessaires]],"")</f>
        <v>0.85714285714285721</v>
      </c>
    </row>
    <row r="30" spans="2:8" ht="16">
      <c r="B30" s="8"/>
      <c r="C30" s="5" t="str">
        <f>_xlfn.XLOOKUP(Tableau57123141618202224323436381234571113141617192527[[#This Row],[Article]],'Liste des fournisseurs'!$B$12:$B$307,'Liste des fournisseurs'!$C$12:$C$307,"")</f>
        <v/>
      </c>
      <c r="D30" s="20"/>
      <c r="E30" s="6" t="str">
        <f>_xlfn.XLOOKUP(Tableau57123141618202224323436381234571113141617192527[[#This Row],[Article]],'Liste des fournisseurs'!$B$12:$B$307,'Liste des fournisseurs'!$F$12:$F$307,"")</f>
        <v/>
      </c>
      <c r="F30" s="7" t="str">
        <f>IFERROR(Tableau57123141618202224323436381234571113141617192527[[#This Row],[Coût d''achat HT à l''unité]]*Tableau57123141618202224323436381234571113141617192527[[#This Row],[Unités nécessaires]],"")</f>
        <v/>
      </c>
    </row>
    <row r="31" spans="2:8" ht="16">
      <c r="B31" s="8"/>
      <c r="C31" s="5" t="str">
        <f>_xlfn.XLOOKUP(Tableau57123141618202224323436381234571113141617192527[[#This Row],[Article]],'Liste des fournisseurs'!$B$12:$B$307,'Liste des fournisseurs'!$C$12:$C$307,"")</f>
        <v/>
      </c>
      <c r="D31" s="20"/>
      <c r="E31" s="6" t="str">
        <f>_xlfn.XLOOKUP(Tableau57123141618202224323436381234571113141617192527[[#This Row],[Article]],'Liste des fournisseurs'!$B$12:$B$307,'Liste des fournisseurs'!$F$12:$F$307,"")</f>
        <v/>
      </c>
      <c r="F31" s="7" t="str">
        <f>IFERROR(Tableau57123141618202224323436381234571113141617192527[[#This Row],[Coût d''achat HT à l''unité]]*Tableau57123141618202224323436381234571113141617192527[[#This Row],[Unités nécessaires]],"")</f>
        <v/>
      </c>
    </row>
    <row r="32" spans="2:8" ht="16">
      <c r="B32" s="8"/>
      <c r="C32" s="5" t="str">
        <f>_xlfn.XLOOKUP(Tableau57123141618202224323436381234571113141617192527[[#This Row],[Article]],'Liste des fournisseurs'!$B$12:$B$307,'Liste des fournisseurs'!$C$12:$C$307,"")</f>
        <v/>
      </c>
      <c r="D32" s="20"/>
      <c r="E32" s="6" t="str">
        <f>_xlfn.XLOOKUP(Tableau57123141618202224323436381234571113141617192527[[#This Row],[Article]],'Liste des fournisseurs'!$B$12:$B$307,'Liste des fournisseurs'!$F$12:$F$307,"")</f>
        <v/>
      </c>
      <c r="F32" s="7" t="str">
        <f>IFERROR(Tableau57123141618202224323436381234571113141617192527[[#This Row],[Coût d''achat HT à l''unité]]*Tableau57123141618202224323436381234571113141617192527[[#This Row],[Unités nécessaires]],"")</f>
        <v/>
      </c>
    </row>
    <row r="33" spans="2:6" ht="17">
      <c r="B33" s="34" t="s">
        <v>7</v>
      </c>
      <c r="C33" s="35"/>
      <c r="D33" s="35"/>
      <c r="E33" s="35"/>
      <c r="F33" s="42">
        <f>SUM(Tableau57123141618202224323436381234571113141617192527[Prix de revient HT])</f>
        <v>2.1571428571428575</v>
      </c>
    </row>
    <row r="34" spans="2:6" ht="34">
      <c r="B34" s="37" t="s">
        <v>8</v>
      </c>
      <c r="C34" s="38"/>
      <c r="D34" s="38"/>
      <c r="E34" s="38"/>
      <c r="F34" s="43">
        <f>F33/C14</f>
        <v>2.1571428571428575</v>
      </c>
    </row>
    <row r="35" spans="2:6" ht="17">
      <c r="B35" s="37" t="s">
        <v>9</v>
      </c>
      <c r="C35" s="40">
        <v>0.2</v>
      </c>
      <c r="D35" s="38"/>
      <c r="E35" s="38"/>
      <c r="F35" s="43">
        <f>SUM(F28:F32)</f>
        <v>2.1571428571428575</v>
      </c>
    </row>
    <row r="36" spans="2:6" ht="17">
      <c r="B36" s="37" t="s">
        <v>10</v>
      </c>
      <c r="C36" s="38"/>
      <c r="D36" s="38"/>
      <c r="E36" s="38"/>
      <c r="F36" s="43">
        <f>F34+C35*F34</f>
        <v>2.588571428571429</v>
      </c>
    </row>
    <row r="37" spans="2:6" ht="20">
      <c r="B37" s="221" t="s">
        <v>13</v>
      </c>
      <c r="C37" s="225"/>
      <c r="D37" s="225"/>
      <c r="E37" s="225"/>
      <c r="F37" s="226">
        <v>5</v>
      </c>
    </row>
    <row r="38" spans="2:6" ht="20">
      <c r="B38" s="227" t="s">
        <v>483</v>
      </c>
      <c r="C38" s="216"/>
      <c r="D38" s="216"/>
      <c r="E38" s="216"/>
      <c r="F38" s="204">
        <f>F41/F40</f>
        <v>0.8</v>
      </c>
    </row>
    <row r="39" spans="2:6" ht="20">
      <c r="B39" s="228" t="s">
        <v>484</v>
      </c>
      <c r="C39" s="216"/>
      <c r="D39" s="216"/>
      <c r="E39" s="216"/>
      <c r="F39" s="204" t="s">
        <v>482</v>
      </c>
    </row>
    <row r="40" spans="2:6" ht="19">
      <c r="B40" s="37" t="s">
        <v>11</v>
      </c>
      <c r="C40" s="14"/>
      <c r="D40" s="14"/>
      <c r="E40" s="14"/>
      <c r="F40" s="44">
        <f>F36*F37</f>
        <v>12.942857142857145</v>
      </c>
    </row>
    <row r="41" spans="2:6" ht="20" thickBot="1">
      <c r="B41" s="41" t="s">
        <v>12</v>
      </c>
      <c r="C41" s="18"/>
      <c r="D41" s="18"/>
      <c r="E41" s="18"/>
      <c r="F41" s="45">
        <f>F40-F36</f>
        <v>10.354285714285716</v>
      </c>
    </row>
    <row r="43" spans="2:6" ht="15" thickBot="1"/>
    <row r="44" spans="2:6" ht="26">
      <c r="B44" s="248" t="s">
        <v>301</v>
      </c>
      <c r="C44" s="249"/>
      <c r="D44" s="249"/>
      <c r="E44" s="249"/>
      <c r="F44" s="250"/>
    </row>
    <row r="45" spans="2:6" ht="19">
      <c r="B45" s="146"/>
      <c r="C45" s="102"/>
      <c r="D45" s="102"/>
      <c r="E45" s="102"/>
      <c r="F45" s="147"/>
    </row>
    <row r="46" spans="2:6" ht="20" thickBot="1">
      <c r="B46" s="148"/>
      <c r="C46" s="149"/>
      <c r="D46" s="149"/>
      <c r="E46" s="149"/>
      <c r="F46" s="150"/>
    </row>
    <row r="47" spans="2:6">
      <c r="B47" s="30"/>
      <c r="C47" s="54"/>
      <c r="D47" s="54"/>
      <c r="E47" s="54"/>
      <c r="F47" s="54"/>
    </row>
    <row r="48" spans="2:6">
      <c r="B48" s="30"/>
      <c r="C48" s="54"/>
      <c r="D48" s="54"/>
      <c r="E48" s="54"/>
      <c r="F48" s="54"/>
    </row>
    <row r="49" spans="2:6">
      <c r="B49" s="30"/>
      <c r="C49" s="54"/>
      <c r="D49" s="54"/>
      <c r="E49" s="54"/>
      <c r="F49" s="54"/>
    </row>
    <row r="50" spans="2:6">
      <c r="B50" s="30"/>
      <c r="C50" s="54"/>
      <c r="D50" s="54"/>
      <c r="E50" s="54"/>
      <c r="F50" s="54"/>
    </row>
    <row r="51" spans="2:6">
      <c r="B51" s="30"/>
      <c r="C51" s="54"/>
      <c r="D51" s="54"/>
      <c r="E51" s="54"/>
      <c r="F51" s="54"/>
    </row>
    <row r="52" spans="2:6">
      <c r="B52" s="30"/>
      <c r="C52" s="54"/>
      <c r="D52" s="54"/>
      <c r="E52" s="54"/>
      <c r="F52" s="54"/>
    </row>
    <row r="53" spans="2:6">
      <c r="B53" s="30"/>
      <c r="C53" s="54"/>
      <c r="D53" s="54"/>
      <c r="E53" s="54"/>
      <c r="F53" s="54"/>
    </row>
    <row r="54" spans="2:6">
      <c r="B54" s="30"/>
      <c r="C54" s="54"/>
      <c r="D54" s="54"/>
      <c r="E54" s="54"/>
      <c r="F54" s="54"/>
    </row>
    <row r="55" spans="2:6">
      <c r="B55" s="30"/>
    </row>
    <row r="56" spans="2:6">
      <c r="B56" s="30"/>
    </row>
    <row r="57" spans="2:6">
      <c r="B57" s="30"/>
    </row>
    <row r="58" spans="2:6">
      <c r="B58" s="30"/>
    </row>
  </sheetData>
  <mergeCells count="4">
    <mergeCell ref="B8:F8"/>
    <mergeCell ref="B10:F10"/>
    <mergeCell ref="B12:F12"/>
    <mergeCell ref="B44:F44"/>
  </mergeCells>
  <dataValidations count="1">
    <dataValidation type="list" allowBlank="1" showInputMessage="1" showErrorMessage="1" sqref="B10:F10" xr:uid="{F9F33024-3054-874B-8679-6797AF65294F}">
      <formula1>"Cocktail,Mocktail,Desserts,Entrées chaudes,Milkshake,Smoothie,Entrées froides,Pâtes en Folie,Pâtes classiques"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3DEE97-7D36-914F-9AD4-02F277D8E195}">
          <x14:formula1>
            <xm:f>'Liste des fournisseurs'!$B$12:$B$307</xm:f>
          </x14:formula1>
          <xm:sqref>B28:B32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F7C-381F-DB49-B238-2A1544BA0371}">
  <sheetPr>
    <pageSetUpPr fitToPage="1"/>
  </sheetPr>
  <dimension ref="A1:P1019"/>
  <sheetViews>
    <sheetView zoomScale="75" zoomScaleNormal="92" workbookViewId="0">
      <selection activeCell="B12" sqref="B12:F74"/>
    </sheetView>
  </sheetViews>
  <sheetFormatPr baseColWidth="10" defaultRowHeight="14"/>
  <cols>
    <col min="1" max="1" width="10.83203125" style="2"/>
    <col min="2" max="2" width="62.33203125" style="2" bestFit="1" customWidth="1"/>
    <col min="3" max="3" width="11" style="2" bestFit="1" customWidth="1"/>
    <col min="4" max="4" width="42.33203125" style="2" bestFit="1" customWidth="1"/>
    <col min="5" max="5" width="29.6640625" style="2" bestFit="1" customWidth="1"/>
    <col min="6" max="6" width="17" style="2" bestFit="1" customWidth="1"/>
    <col min="7" max="7" width="20.33203125" style="2" customWidth="1"/>
    <col min="8" max="8" width="48.33203125" style="2" bestFit="1" customWidth="1"/>
    <col min="9" max="9" width="14.1640625" style="2" bestFit="1" customWidth="1"/>
    <col min="10" max="10" width="42.1640625" style="2" bestFit="1" customWidth="1"/>
    <col min="11" max="12" width="10.83203125" style="2"/>
    <col min="13" max="13" width="35" style="2" bestFit="1" customWidth="1"/>
    <col min="14" max="16384" width="10.83203125" style="2"/>
  </cols>
  <sheetData>
    <row r="1" spans="1:16" ht="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">
      <c r="A11" s="1"/>
      <c r="B11" s="183" t="s">
        <v>3</v>
      </c>
      <c r="C11" s="184" t="s">
        <v>91</v>
      </c>
      <c r="D11" s="184" t="s">
        <v>92</v>
      </c>
      <c r="E11" s="184" t="s">
        <v>214</v>
      </c>
      <c r="F11" s="185" t="s">
        <v>93</v>
      </c>
      <c r="G11" s="1"/>
      <c r="H11" s="3" t="s">
        <v>262</v>
      </c>
      <c r="I11" s="1"/>
      <c r="J11" s="1"/>
      <c r="K11" s="1"/>
      <c r="M11" s="3"/>
    </row>
    <row r="12" spans="1:16" ht="16">
      <c r="A12" s="1"/>
      <c r="B12" s="186" t="s">
        <v>20</v>
      </c>
      <c r="C12" s="187" t="s">
        <v>21</v>
      </c>
      <c r="D12" s="187" t="s">
        <v>22</v>
      </c>
      <c r="E12" s="188"/>
      <c r="F12" s="189">
        <v>4.7300000000000004</v>
      </c>
      <c r="G12" s="1"/>
      <c r="H12" s="4" t="s">
        <v>22</v>
      </c>
      <c r="I12" s="1"/>
      <c r="J12" s="1"/>
      <c r="K12" s="1"/>
      <c r="L12" s="1"/>
      <c r="N12" s="1"/>
      <c r="O12" s="1"/>
      <c r="P12" s="1"/>
    </row>
    <row r="13" spans="1:16" ht="16">
      <c r="A13" s="1"/>
      <c r="B13" s="186" t="s">
        <v>19</v>
      </c>
      <c r="C13" s="187" t="s">
        <v>23</v>
      </c>
      <c r="D13" s="187" t="s">
        <v>22</v>
      </c>
      <c r="E13" s="188"/>
      <c r="F13" s="189">
        <v>3</v>
      </c>
      <c r="G13" s="1"/>
      <c r="H13" s="4" t="s">
        <v>31</v>
      </c>
      <c r="I13" s="1"/>
      <c r="J13" s="1"/>
      <c r="K13" s="1"/>
      <c r="L13" s="1"/>
      <c r="N13" s="1"/>
      <c r="O13" s="1"/>
      <c r="P13" s="1"/>
    </row>
    <row r="14" spans="1:16" ht="16">
      <c r="A14" s="1"/>
      <c r="B14" s="186" t="s">
        <v>24</v>
      </c>
      <c r="C14" s="187" t="s">
        <v>21</v>
      </c>
      <c r="D14" s="187" t="s">
        <v>22</v>
      </c>
      <c r="E14" s="188"/>
      <c r="F14" s="189"/>
      <c r="G14" s="1"/>
      <c r="H14" s="4" t="s">
        <v>35</v>
      </c>
      <c r="I14" s="1"/>
      <c r="J14" s="1"/>
      <c r="K14" s="1"/>
      <c r="L14" s="1"/>
      <c r="N14" s="1"/>
      <c r="O14" s="1"/>
      <c r="P14" s="1"/>
    </row>
    <row r="15" spans="1:16" ht="16">
      <c r="A15" s="1"/>
      <c r="B15" s="186" t="s">
        <v>25</v>
      </c>
      <c r="C15" s="187" t="s">
        <v>21</v>
      </c>
      <c r="D15" s="187" t="s">
        <v>22</v>
      </c>
      <c r="E15" s="188"/>
      <c r="F15" s="189">
        <v>15</v>
      </c>
      <c r="G15" s="1"/>
      <c r="H15" s="4" t="s">
        <v>37</v>
      </c>
      <c r="I15" s="1"/>
      <c r="J15" s="1"/>
      <c r="K15" s="1"/>
      <c r="L15" s="1"/>
      <c r="N15" s="1"/>
      <c r="O15" s="1"/>
      <c r="P15" s="1"/>
    </row>
    <row r="16" spans="1:16" ht="16">
      <c r="A16" s="1"/>
      <c r="B16" s="186" t="s">
        <v>26</v>
      </c>
      <c r="C16" s="187" t="s">
        <v>14</v>
      </c>
      <c r="D16" s="187" t="s">
        <v>22</v>
      </c>
      <c r="E16" s="188"/>
      <c r="F16" s="189">
        <v>11.24</v>
      </c>
      <c r="G16" s="1"/>
      <c r="H16" s="4" t="s">
        <v>68</v>
      </c>
      <c r="I16" s="1"/>
      <c r="J16" s="1"/>
      <c r="K16" s="1"/>
      <c r="L16" s="1"/>
      <c r="N16" s="1"/>
      <c r="O16" s="1"/>
      <c r="P16" s="1"/>
    </row>
    <row r="17" spans="1:16" ht="16">
      <c r="A17" s="1"/>
      <c r="B17" s="186" t="s">
        <v>27</v>
      </c>
      <c r="C17" s="187" t="s">
        <v>21</v>
      </c>
      <c r="D17" s="187" t="s">
        <v>22</v>
      </c>
      <c r="E17" s="188"/>
      <c r="F17" s="189">
        <v>40.14</v>
      </c>
      <c r="G17" s="1"/>
      <c r="H17" s="4" t="s">
        <v>44</v>
      </c>
      <c r="I17" s="1"/>
      <c r="J17" s="1"/>
      <c r="K17" s="1"/>
      <c r="L17" s="1"/>
      <c r="N17" s="1"/>
      <c r="O17" s="1"/>
      <c r="P17" s="1"/>
    </row>
    <row r="18" spans="1:16" ht="16">
      <c r="A18" s="1"/>
      <c r="B18" s="186" t="s">
        <v>28</v>
      </c>
      <c r="C18" s="187" t="s">
        <v>21</v>
      </c>
      <c r="D18" s="187" t="s">
        <v>22</v>
      </c>
      <c r="E18" s="188"/>
      <c r="F18" s="189">
        <v>44.5</v>
      </c>
      <c r="G18" s="1"/>
      <c r="H18" s="4" t="s">
        <v>88</v>
      </c>
      <c r="I18" s="1"/>
      <c r="J18" s="1"/>
      <c r="K18" s="1"/>
      <c r="L18" s="1"/>
      <c r="N18" s="1"/>
      <c r="O18" s="1"/>
      <c r="P18" s="1"/>
    </row>
    <row r="19" spans="1:16" ht="16">
      <c r="A19" s="1"/>
      <c r="B19" s="186" t="s">
        <v>29</v>
      </c>
      <c r="C19" s="187" t="s">
        <v>14</v>
      </c>
      <c r="D19" s="187" t="s">
        <v>22</v>
      </c>
      <c r="E19" s="188"/>
      <c r="F19" s="189"/>
      <c r="G19" s="1"/>
      <c r="H19" s="4" t="s">
        <v>59</v>
      </c>
      <c r="I19" s="1"/>
      <c r="J19" s="1"/>
      <c r="K19" s="1"/>
      <c r="L19" s="1"/>
      <c r="N19" s="1"/>
      <c r="O19" s="1"/>
      <c r="P19" s="1"/>
    </row>
    <row r="20" spans="1:16" ht="16">
      <c r="A20" s="1"/>
      <c r="B20" s="186" t="s">
        <v>30</v>
      </c>
      <c r="C20" s="187" t="s">
        <v>21</v>
      </c>
      <c r="D20" s="187" t="s">
        <v>22</v>
      </c>
      <c r="E20" s="188"/>
      <c r="F20" s="189">
        <v>8.07</v>
      </c>
      <c r="G20" s="1"/>
      <c r="H20" s="4" t="s">
        <v>216</v>
      </c>
      <c r="I20" s="1"/>
      <c r="J20" s="1"/>
      <c r="K20" s="1"/>
      <c r="L20" s="1"/>
      <c r="N20" s="1"/>
      <c r="O20" s="1"/>
      <c r="P20" s="1"/>
    </row>
    <row r="21" spans="1:16" ht="16">
      <c r="A21" s="1"/>
      <c r="B21" s="186" t="s">
        <v>272</v>
      </c>
      <c r="C21" s="187" t="s">
        <v>14</v>
      </c>
      <c r="D21" s="187" t="s">
        <v>31</v>
      </c>
      <c r="E21" s="188"/>
      <c r="F21" s="189">
        <f>3.44/250</f>
        <v>1.376E-2</v>
      </c>
      <c r="G21" s="1"/>
      <c r="H21" s="4" t="s">
        <v>220</v>
      </c>
      <c r="I21" s="1"/>
      <c r="J21" s="1"/>
      <c r="K21" s="1"/>
      <c r="L21" s="1"/>
      <c r="N21" s="1"/>
      <c r="O21" s="1"/>
      <c r="P21" s="1"/>
    </row>
    <row r="22" spans="1:16" ht="16">
      <c r="A22" s="1"/>
      <c r="B22" s="186" t="s">
        <v>266</v>
      </c>
      <c r="C22" s="187" t="s">
        <v>14</v>
      </c>
      <c r="D22" s="187" t="s">
        <v>31</v>
      </c>
      <c r="E22" s="188"/>
      <c r="F22" s="189">
        <f>8.56/250</f>
        <v>3.424E-2</v>
      </c>
      <c r="G22" s="1"/>
      <c r="H22" s="4" t="s">
        <v>252</v>
      </c>
      <c r="I22" s="1"/>
      <c r="J22" s="1"/>
      <c r="K22" s="1"/>
      <c r="L22" s="1"/>
      <c r="N22" s="1"/>
      <c r="O22" s="1"/>
      <c r="P22" s="1"/>
    </row>
    <row r="23" spans="1:16" ht="16">
      <c r="A23" s="1"/>
      <c r="B23" s="186" t="s">
        <v>263</v>
      </c>
      <c r="C23" s="187" t="s">
        <v>211</v>
      </c>
      <c r="D23" s="187" t="s">
        <v>31</v>
      </c>
      <c r="E23" s="188"/>
      <c r="F23" s="189">
        <f>2.6/400</f>
        <v>6.5000000000000006E-3</v>
      </c>
      <c r="G23" s="1"/>
      <c r="H23" s="4" t="s">
        <v>253</v>
      </c>
      <c r="I23" s="1"/>
      <c r="J23" s="1"/>
      <c r="K23" s="1"/>
      <c r="L23" s="1"/>
      <c r="N23" s="1"/>
      <c r="O23" s="1"/>
      <c r="P23" s="1"/>
    </row>
    <row r="24" spans="1:16" ht="16">
      <c r="A24" s="1"/>
      <c r="B24" s="186" t="s">
        <v>36</v>
      </c>
      <c r="C24" s="187"/>
      <c r="D24" s="187" t="s">
        <v>37</v>
      </c>
      <c r="E24" s="188"/>
      <c r="F24" s="189"/>
      <c r="G24" s="1"/>
      <c r="H24" s="4" t="s">
        <v>232</v>
      </c>
      <c r="I24" s="1"/>
      <c r="J24" s="1"/>
      <c r="K24" s="1"/>
      <c r="L24" s="1"/>
      <c r="N24" s="1"/>
      <c r="O24" s="1"/>
      <c r="P24" s="1"/>
    </row>
    <row r="25" spans="1:16" ht="16">
      <c r="A25" s="1"/>
      <c r="B25" s="186" t="s">
        <v>38</v>
      </c>
      <c r="C25" s="187" t="s">
        <v>39</v>
      </c>
      <c r="D25" s="187" t="s">
        <v>37</v>
      </c>
      <c r="E25" s="188"/>
      <c r="F25" s="189"/>
      <c r="G25" s="1"/>
      <c r="H25" s="4" t="s">
        <v>243</v>
      </c>
      <c r="I25" s="1"/>
      <c r="J25" s="1"/>
      <c r="K25" s="1"/>
      <c r="L25" s="1"/>
      <c r="N25" s="1"/>
      <c r="O25" s="1"/>
      <c r="P25" s="1"/>
    </row>
    <row r="26" spans="1:16" ht="16">
      <c r="A26" s="1"/>
      <c r="B26" s="186" t="s">
        <v>95</v>
      </c>
      <c r="C26" s="187"/>
      <c r="D26" s="187" t="s">
        <v>37</v>
      </c>
      <c r="E26" s="188"/>
      <c r="F26" s="189"/>
      <c r="G26" s="1"/>
      <c r="H26" s="4" t="s">
        <v>268</v>
      </c>
      <c r="I26" s="1"/>
      <c r="J26" s="1"/>
      <c r="K26" s="1"/>
      <c r="L26" s="1"/>
      <c r="N26" s="1"/>
      <c r="O26" s="1"/>
      <c r="P26" s="1"/>
    </row>
    <row r="27" spans="1:16" ht="16">
      <c r="A27" s="1"/>
      <c r="B27" s="186" t="s">
        <v>96</v>
      </c>
      <c r="C27" s="187"/>
      <c r="D27" s="187" t="s">
        <v>37</v>
      </c>
      <c r="E27" s="188"/>
      <c r="F27" s="189"/>
      <c r="G27" s="1"/>
      <c r="H27" s="4" t="s">
        <v>250</v>
      </c>
      <c r="I27" s="1"/>
      <c r="J27" s="1"/>
      <c r="K27" s="1"/>
      <c r="L27" s="1"/>
      <c r="N27" s="1"/>
      <c r="O27" s="1"/>
      <c r="P27" s="1"/>
    </row>
    <row r="28" spans="1:16" ht="16">
      <c r="A28" s="1"/>
      <c r="B28" s="186" t="s">
        <v>40</v>
      </c>
      <c r="C28" s="187"/>
      <c r="D28" s="187"/>
      <c r="E28" s="188"/>
      <c r="F28" s="189">
        <v>1.51</v>
      </c>
      <c r="G28" s="1"/>
      <c r="H28" s="4" t="s">
        <v>251</v>
      </c>
      <c r="I28" s="1"/>
      <c r="J28" s="1"/>
      <c r="K28" s="1"/>
      <c r="L28" s="1"/>
      <c r="N28" s="1"/>
      <c r="O28" s="1"/>
      <c r="P28" s="1"/>
    </row>
    <row r="29" spans="1:16" ht="16">
      <c r="A29" s="1"/>
      <c r="B29" s="186" t="s">
        <v>41</v>
      </c>
      <c r="C29" s="187" t="s">
        <v>42</v>
      </c>
      <c r="D29" s="187" t="s">
        <v>37</v>
      </c>
      <c r="E29" s="188"/>
      <c r="F29" s="189"/>
      <c r="G29" s="1"/>
      <c r="H29" s="4" t="s">
        <v>254</v>
      </c>
      <c r="I29" s="1"/>
      <c r="J29" s="1"/>
      <c r="K29" s="1"/>
      <c r="L29" s="1"/>
      <c r="N29" s="1"/>
      <c r="O29" s="1"/>
      <c r="P29" s="1"/>
    </row>
    <row r="30" spans="1:16" ht="16">
      <c r="A30" s="1"/>
      <c r="B30" s="186" t="s">
        <v>43</v>
      </c>
      <c r="C30" s="187" t="s">
        <v>14</v>
      </c>
      <c r="D30" s="187" t="s">
        <v>37</v>
      </c>
      <c r="E30" s="188"/>
      <c r="F30" s="189">
        <v>2.12</v>
      </c>
      <c r="G30" s="1"/>
      <c r="H30" s="4" t="s">
        <v>255</v>
      </c>
      <c r="I30" s="1"/>
      <c r="J30" s="1"/>
      <c r="K30" s="1"/>
      <c r="L30" s="1"/>
      <c r="M30" s="1"/>
      <c r="N30" s="1"/>
      <c r="O30" s="1"/>
      <c r="P30" s="1"/>
    </row>
    <row r="31" spans="1:16" ht="16">
      <c r="A31" s="1"/>
      <c r="B31" s="186" t="s">
        <v>271</v>
      </c>
      <c r="C31" s="187" t="s">
        <v>14</v>
      </c>
      <c r="D31" s="187" t="s">
        <v>44</v>
      </c>
      <c r="E31" s="188"/>
      <c r="F31" s="189">
        <f>3.92/2500</f>
        <v>1.5679999999999999E-3</v>
      </c>
      <c r="G31" s="1"/>
      <c r="H31" s="4" t="s">
        <v>256</v>
      </c>
      <c r="I31" s="1"/>
      <c r="J31" s="1"/>
      <c r="K31" s="1"/>
      <c r="L31" s="1"/>
      <c r="M31" s="1"/>
      <c r="N31" s="1"/>
      <c r="O31" s="1"/>
      <c r="P31" s="1"/>
    </row>
    <row r="32" spans="1:16" ht="16">
      <c r="A32" s="1"/>
      <c r="B32" s="186" t="s">
        <v>45</v>
      </c>
      <c r="C32" s="187" t="s">
        <v>34</v>
      </c>
      <c r="D32" s="187" t="s">
        <v>37</v>
      </c>
      <c r="E32" s="188"/>
      <c r="F32" s="189"/>
      <c r="G32" s="1"/>
      <c r="H32" s="4" t="s">
        <v>257</v>
      </c>
      <c r="I32" s="1"/>
      <c r="J32" s="1"/>
      <c r="K32" s="1"/>
      <c r="L32" s="1"/>
      <c r="M32" s="1"/>
      <c r="N32" s="1"/>
      <c r="O32" s="1"/>
      <c r="P32" s="1"/>
    </row>
    <row r="33" spans="1:16" ht="16">
      <c r="A33" s="1"/>
      <c r="B33" s="186" t="s">
        <v>46</v>
      </c>
      <c r="C33" s="187" t="s">
        <v>34</v>
      </c>
      <c r="D33" s="187" t="s">
        <v>37</v>
      </c>
      <c r="E33" s="188"/>
      <c r="F33" s="189"/>
      <c r="G33" s="1"/>
      <c r="H33" s="4" t="s">
        <v>258</v>
      </c>
      <c r="I33" s="1"/>
      <c r="J33" s="1"/>
      <c r="K33" s="1"/>
      <c r="L33" s="1"/>
      <c r="M33" s="1"/>
      <c r="N33" s="1"/>
      <c r="O33" s="1"/>
      <c r="P33" s="1"/>
    </row>
    <row r="34" spans="1:16" ht="16">
      <c r="A34" s="1"/>
      <c r="B34" s="186" t="s">
        <v>47</v>
      </c>
      <c r="C34" s="187" t="s">
        <v>32</v>
      </c>
      <c r="D34" s="187" t="s">
        <v>37</v>
      </c>
      <c r="E34" s="188"/>
      <c r="F34" s="189">
        <v>12.46</v>
      </c>
      <c r="G34" s="1"/>
      <c r="H34" s="4" t="s">
        <v>259</v>
      </c>
      <c r="I34" s="1"/>
      <c r="J34" s="1"/>
      <c r="K34" s="1"/>
      <c r="L34" s="1"/>
      <c r="M34" s="1"/>
      <c r="N34" s="1"/>
      <c r="O34" s="1"/>
      <c r="P34" s="1"/>
    </row>
    <row r="35" spans="1:16" ht="16">
      <c r="A35" s="1"/>
      <c r="B35" s="186" t="s">
        <v>48</v>
      </c>
      <c r="C35" s="187" t="s">
        <v>32</v>
      </c>
      <c r="D35" s="187" t="s">
        <v>44</v>
      </c>
      <c r="E35" s="188"/>
      <c r="F35" s="189">
        <v>11.44</v>
      </c>
      <c r="G35" s="1"/>
      <c r="H35" s="4" t="s">
        <v>260</v>
      </c>
      <c r="I35" s="1"/>
      <c r="J35" s="1"/>
      <c r="K35" s="1"/>
      <c r="L35" s="1"/>
      <c r="M35" s="1"/>
      <c r="N35" s="1"/>
      <c r="O35" s="1"/>
      <c r="P35" s="1"/>
    </row>
    <row r="36" spans="1:16" ht="16">
      <c r="A36" s="1"/>
      <c r="B36" s="186" t="s">
        <v>49</v>
      </c>
      <c r="C36" s="187"/>
      <c r="D36" s="187" t="s">
        <v>37</v>
      </c>
      <c r="E36" s="188"/>
      <c r="F36" s="189"/>
      <c r="G36" s="1"/>
      <c r="H36" s="4" t="s">
        <v>261</v>
      </c>
      <c r="I36" s="1"/>
      <c r="J36" s="1"/>
      <c r="K36" s="1"/>
      <c r="L36" s="1"/>
      <c r="M36" s="1"/>
      <c r="N36" s="1"/>
      <c r="O36" s="1"/>
      <c r="P36" s="1"/>
    </row>
    <row r="37" spans="1:16" ht="16">
      <c r="A37" s="1"/>
      <c r="B37" s="186" t="s">
        <v>50</v>
      </c>
      <c r="C37" s="187"/>
      <c r="D37" s="187" t="s">
        <v>37</v>
      </c>
      <c r="E37" s="188"/>
      <c r="F37" s="189"/>
      <c r="G37" s="1"/>
      <c r="H37" s="4" t="s">
        <v>59</v>
      </c>
      <c r="I37" s="1"/>
      <c r="J37" s="1"/>
      <c r="K37" s="1"/>
      <c r="L37" s="1"/>
      <c r="M37" s="1"/>
      <c r="N37" s="1"/>
      <c r="O37" s="1"/>
      <c r="P37" s="1"/>
    </row>
    <row r="38" spans="1:16" ht="16">
      <c r="A38" s="1"/>
      <c r="B38" s="186" t="s">
        <v>270</v>
      </c>
      <c r="C38" s="187" t="s">
        <v>91</v>
      </c>
      <c r="D38" s="187"/>
      <c r="E38" s="188"/>
      <c r="F38" s="189">
        <v>0.23148147999999999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6">
      <c r="A39" s="1"/>
      <c r="B39" s="186" t="s">
        <v>51</v>
      </c>
      <c r="C39" s="187" t="s">
        <v>42</v>
      </c>
      <c r="D39" s="187" t="s">
        <v>37</v>
      </c>
      <c r="E39" s="188"/>
      <c r="F39" s="189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6">
      <c r="A40" s="1"/>
      <c r="B40" s="186" t="s">
        <v>52</v>
      </c>
      <c r="C40" s="187" t="s">
        <v>42</v>
      </c>
      <c r="D40" s="187" t="s">
        <v>37</v>
      </c>
      <c r="E40" s="188"/>
      <c r="F40" s="189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dataValidations count="2">
    <dataValidation type="list" allowBlank="1" showInputMessage="1" showErrorMessage="1" sqref="E75:E271" xr:uid="{29C2323F-D742-CF4B-91A2-087BA166844A}">
      <formula1>#REF!</formula1>
    </dataValidation>
    <dataValidation type="list" allowBlank="1" showInputMessage="1" showErrorMessage="1" sqref="D12:D307" xr:uid="{FD81F515-2BC9-C641-9CD6-134A25CF7664}">
      <formula1>$H$12:$H$37</formula1>
    </dataValidation>
  </dataValidations>
  <pageMargins left="0.7" right="0.7" top="0.75" bottom="0.75" header="0.3" footer="0.3"/>
  <pageSetup paperSize="9" scale="19" orientation="portrait" horizontalDpi="0" verticalDpi="0"/>
  <tableParts count="2">
    <tablePart r:id="rId2"/>
    <tablePart r:id="rId3"/>
  </tableParts>
</worksheet>
</file>